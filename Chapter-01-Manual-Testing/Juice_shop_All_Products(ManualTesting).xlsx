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sheetId="1" r:id="rId4"/>
  </sheets>
  <definedNames/>
  <calcPr/>
  <extLst>
    <ext uri="GoogleSheetsCustomDataVersion2">
      <go:sheetsCustomData xmlns:go="http://customooxmlschemas.google.com/" r:id="rId5" roundtripDataChecksum="+cAkCjoNya6U4tKYLRl/pSyTxOCsAVTNOpgiDRVxz4Y="/>
    </ext>
  </extLst>
</workbook>
</file>

<file path=xl/sharedStrings.xml><?xml version="1.0" encoding="utf-8"?>
<sst xmlns="http://schemas.openxmlformats.org/spreadsheetml/2006/main" count="771" uniqueCount="491">
  <si>
    <t>Product Name</t>
  </si>
  <si>
    <t>OWASP Juice Shop</t>
  </si>
  <si>
    <t>TC Start Date</t>
  </si>
  <si>
    <t>TC Execution Start Date</t>
  </si>
  <si>
    <t>TEST CASE STATUS</t>
  </si>
  <si>
    <t>Severity</t>
  </si>
  <si>
    <t>Priority</t>
  </si>
  <si>
    <t>Event Name</t>
  </si>
  <si>
    <t>TC End Date</t>
  </si>
  <si>
    <t>TC Execution End Date</t>
  </si>
  <si>
    <t>PASS</t>
  </si>
  <si>
    <t>Critical</t>
  </si>
  <si>
    <t>High</t>
  </si>
  <si>
    <t>Para Form Name</t>
  </si>
  <si>
    <t>Test Case Developed By</t>
  </si>
  <si>
    <t>FAIL</t>
  </si>
  <si>
    <t>Medium</t>
  </si>
  <si>
    <t>Developer Name (TL)</t>
  </si>
  <si>
    <t>Test Case Reviewed By</t>
  </si>
  <si>
    <t>NT</t>
  </si>
  <si>
    <t>Low</t>
  </si>
  <si>
    <t>Test Executed by</t>
  </si>
  <si>
    <t>MITS ID</t>
  </si>
  <si>
    <t>TOTAL</t>
  </si>
  <si>
    <t>Issue Accepted</t>
  </si>
  <si>
    <t>Req ID</t>
  </si>
  <si>
    <t>Requirement Description</t>
  </si>
  <si>
    <t>TC ID</t>
  </si>
  <si>
    <t>Test Case Description</t>
  </si>
  <si>
    <t>Category</t>
  </si>
  <si>
    <t>Automation TC ID</t>
  </si>
  <si>
    <t>Test Steps</t>
  </si>
  <si>
    <t>Test Data</t>
  </si>
  <si>
    <t>Expected Result</t>
  </si>
  <si>
    <t>Actual Result</t>
  </si>
  <si>
    <t>QA Status</t>
  </si>
  <si>
    <t>Tested By</t>
  </si>
  <si>
    <t>QA Remarks</t>
  </si>
  <si>
    <t>Dev Status</t>
  </si>
  <si>
    <t>Developed By</t>
  </si>
  <si>
    <t>Dev Remarks</t>
  </si>
  <si>
    <t>Updated QA Status</t>
  </si>
  <si>
    <t>RQ_01</t>
  </si>
  <si>
    <t>The system should display all product names correctly.</t>
  </si>
  <si>
    <t>TC_01</t>
  </si>
  <si>
    <t>Verify that all product names are displayed correctly</t>
  </si>
  <si>
    <t>Functional</t>
  </si>
  <si>
    <t>Load the page and check product names.</t>
  </si>
  <si>
    <t>N/A</t>
  </si>
  <si>
    <t>Product names should be displayed correctly</t>
  </si>
  <si>
    <t>Product names is displayed correctly</t>
  </si>
  <si>
    <t>Accepted</t>
  </si>
  <si>
    <t>RQ_02</t>
  </si>
  <si>
    <t>The system should display the correct price for each product.</t>
  </si>
  <si>
    <t>TC_02</t>
  </si>
  <si>
    <t>Verify that product prices are displayed correctly</t>
  </si>
  <si>
    <t>Load the page and check product prices</t>
  </si>
  <si>
    <t>Product prices should match database values</t>
  </si>
  <si>
    <t>Product prices is correctly displayed</t>
  </si>
  <si>
    <t>Rejected</t>
  </si>
  <si>
    <t>RQ_03</t>
  </si>
  <si>
    <t>Users should be able to add products to the basket.</t>
  </si>
  <si>
    <t>TC_03</t>
  </si>
  <si>
    <t>Verify that "Add to Basket" button is functional</t>
  </si>
  <si>
    <t>1. Navigate to a product page.
2. Click the "Add to Basket" button.
3. Open the shopping basket and check if the product appears</t>
  </si>
  <si>
    <t>Any product (for example: Apple Juice (1000ml))</t>
  </si>
  <si>
    <t>The product should be successfully added to the basket and displayed in the cart.</t>
  </si>
  <si>
    <t>The product was successfully added to the basket and displayed correctly.</t>
  </si>
  <si>
    <t>RQ_04</t>
  </si>
  <si>
    <t>The system should load product images properly.</t>
  </si>
  <si>
    <t>TC_04</t>
  </si>
  <si>
    <t>Verify product images load correctly</t>
  </si>
  <si>
    <t>Inspect images for all products</t>
  </si>
  <si>
    <t>All product images should load without errors</t>
  </si>
  <si>
    <t xml:space="preserve">As expected </t>
  </si>
  <si>
    <t>RQ_05</t>
  </si>
  <si>
    <t>Pagination should work as expected.</t>
  </si>
  <si>
    <t>TC_05</t>
  </si>
  <si>
    <t>Verify pagination works properly</t>
  </si>
  <si>
    <t>Click pagination next/previous buttons</t>
  </si>
  <si>
    <t>Product list should update accordingly</t>
  </si>
  <si>
    <t>RQ_06</t>
  </si>
  <si>
    <t>Basket should reflect the correct number of items added.</t>
  </si>
  <si>
    <t>TC_06</t>
  </si>
  <si>
    <t>Verify that the basket reflects the correct number of items added</t>
  </si>
  <si>
    <t>Add multiple items to the basket and check the count</t>
  </si>
  <si>
    <t>Apple Juice (1000ml) – 1 item
Banana Juice (1000ml) – 1 item</t>
  </si>
  <si>
    <t>Basket count should update correctly</t>
  </si>
  <si>
    <t>The basket correctly displays two products with accurate pricing</t>
  </si>
  <si>
    <t>RQ_07</t>
  </si>
  <si>
    <t>The checkout process should initiate correctly.</t>
  </si>
  <si>
    <t>TC_07</t>
  </si>
  <si>
    <t>Verify that the checkout process initiates correctly</t>
  </si>
  <si>
    <t>1. Log in to the Juice Shop app.
2. Add multiple items to the basket (Apple Juice, Banana Juice, Carrot Juice).
3. Click on "Your Basket".
4. Click the "Checkout" button.
5. Verify the checkout page opens successfully.</t>
  </si>
  <si>
    <t>- Apple Juice (1000ml) – 1 item (1.99)
- Banana Juice (1000ml) – 1 item (1.99)
- Carrot Juice (1000ml) – 1 item (2.99)
Total Price: 6.97</t>
  </si>
  <si>
    <t>Checkout page should open successfully</t>
  </si>
  <si>
    <t xml:space="preserve"> The checkout process initiates correctly, and the user is redirected to the "Select an Address" page.</t>
  </si>
  <si>
    <t>RQ_08</t>
  </si>
  <si>
    <t>The UI should be responsive on different screen sizes.</t>
  </si>
  <si>
    <t>TC_08</t>
  </si>
  <si>
    <t>Verify UI responsiveness on different screen sizes.</t>
  </si>
  <si>
    <t>UI</t>
  </si>
  <si>
    <t>1. Open the Juice Shop web application.
2. Resize the browser window to different sizes (desktop, tablet, mobile).
3. Inspect the layout manually for distortions or misalignment.
4. Test in developer tools for mobile views</t>
  </si>
  <si>
    <t>Inspect layout manually</t>
  </si>
  <si>
    <t>The UI should adjust correctly without overlapping elements</t>
  </si>
  <si>
    <t>UI adapts well to different screen sizes</t>
  </si>
  <si>
    <t>RQ_09</t>
  </si>
  <si>
    <t>The system should have appropriate color contrast.</t>
  </si>
  <si>
    <t>TC_09</t>
  </si>
  <si>
    <t>Verify that the color contrast is appropriate</t>
  </si>
  <si>
    <t>1. Open the Juice Shop web application.
2. Inspect text elements (product names, buttons, error messages) against their background.
3. Use a contrast checker tool</t>
  </si>
  <si>
    <t>Text should be easily readable with sufficient contrast</t>
  </si>
  <si>
    <t>Text is readable</t>
  </si>
  <si>
    <t>RQ_10</t>
  </si>
  <si>
    <t>Buttons should be properly aligned.</t>
  </si>
  <si>
    <t>TC_10</t>
  </si>
  <si>
    <t>Verify that all buttons are properly aligned</t>
  </si>
  <si>
    <t>Buttons should be aligned consistently</t>
  </si>
  <si>
    <t>Buttons is aligned consistently</t>
  </si>
  <si>
    <t>RQ_11</t>
  </si>
  <si>
    <t>The system should highlight limited stock items.</t>
  </si>
  <si>
    <t>TC_11</t>
  </si>
  <si>
    <t>Verify that the "Only 1 left" banner appears on limited stock items</t>
  </si>
  <si>
    <t>Identify limited-stock items</t>
  </si>
  <si>
    <t>The banner should be visible for limited stock</t>
  </si>
  <si>
    <t>The banner is visible for limited stock</t>
  </si>
  <si>
    <t>RQ_12</t>
  </si>
  <si>
    <t>The "Add to Basket" button should be easy to locate</t>
  </si>
  <si>
    <t>TC_12</t>
  </si>
  <si>
    <t>Verify that the "Add to Basket" button is easy to locate.</t>
  </si>
  <si>
    <t>Usability</t>
  </si>
  <si>
    <t>1. Open the product page.
2. Look for the "Add to Basket" button.
3. Check its visibility, size, and placement</t>
  </si>
  <si>
    <t>The button should be clearly visible, well-placed, and easy to find</t>
  </si>
  <si>
    <t>Button is visible and well-placed near product details</t>
  </si>
  <si>
    <t>RQ_13</t>
  </si>
  <si>
    <t>Product descriptions should be clear</t>
  </si>
  <si>
    <t>TC_13</t>
  </si>
  <si>
    <t>Verify that product descriptions are clear and understandable</t>
  </si>
  <si>
    <t>Read product descriptions</t>
  </si>
  <si>
    <t>Descriptions should be informative and concise</t>
  </si>
  <si>
    <t>RQ_14</t>
  </si>
  <si>
    <t>The basket icon should update dynamically</t>
  </si>
  <si>
    <t>TC_14</t>
  </si>
  <si>
    <t>Verify that the "Your Basket" icon updates dynamically</t>
  </si>
  <si>
    <t>1. Open the product page.
2. Click "Add to Basket" for any product.
3. Observe the basket icon in the top-right corner</t>
  </si>
  <si>
    <t>The basket icon should update immediately to reflect the correct number of items added</t>
  </si>
  <si>
    <t>Basket icon updates correctly when a product is added. Count matches items in the basket</t>
  </si>
  <si>
    <t>RQ_15</t>
  </si>
  <si>
    <t>Users should not be able to manipulate product prices through dev tools.</t>
  </si>
  <si>
    <t>TC_15</t>
  </si>
  <si>
    <t>Verify that product prices cannot be manipulated via browser dev tools</t>
  </si>
  <si>
    <t>Security</t>
  </si>
  <si>
    <t>Change product price in dev tools and attempt purchase</t>
  </si>
  <si>
    <t>The backend should validate correct prices</t>
  </si>
  <si>
    <t>Backend correctly validates prices</t>
  </si>
  <si>
    <t>RQ_16</t>
  </si>
  <si>
    <t>Users should be logged out after a period of inactivity</t>
  </si>
  <si>
    <t>TC_16</t>
  </si>
  <si>
    <t>Verify session timeout for inactivity</t>
  </si>
  <si>
    <t>Log in and remain idle for a set time</t>
  </si>
  <si>
    <t>User should be logged out automatically</t>
  </si>
  <si>
    <t>User logged out automatically</t>
  </si>
  <si>
    <t>RQ_17</t>
  </si>
  <si>
    <t>The website should load within acceptable limits</t>
  </si>
  <si>
    <t>TC_17</t>
  </si>
  <si>
    <t>Verify page load time is within acceptable limits</t>
  </si>
  <si>
    <t>Performance</t>
  </si>
  <si>
    <t>Measure page load speed</t>
  </si>
  <si>
    <t>Page should fully load within 3 seconds</t>
  </si>
  <si>
    <t>Page loads in 2.8 seconds</t>
  </si>
  <si>
    <t>RQ_18</t>
  </si>
  <si>
    <t>Images should be optimized for fast loading</t>
  </si>
  <si>
    <t>TC_18</t>
  </si>
  <si>
    <t>Verify that images are optimized for fast loading</t>
  </si>
  <si>
    <t>Inspect image file sizes</t>
  </si>
  <si>
    <t>Images should be compressed efficiently</t>
  </si>
  <si>
    <t>Some images exceed 200KB, causing delays</t>
  </si>
  <si>
    <t>RQ_19</t>
  </si>
  <si>
    <t>The checkout process should complete without performance delays</t>
  </si>
  <si>
    <t>TC_19</t>
  </si>
  <si>
    <t>Verify checkout process performance</t>
  </si>
  <si>
    <t>Complete a purchase and measure response time</t>
  </si>
  <si>
    <t>Test purchase</t>
  </si>
  <si>
    <t>Checkout should complete smoothly in minimal time</t>
  </si>
  <si>
    <t>RQ_20</t>
  </si>
  <si>
    <t>Users should be able to add a new address.</t>
  </si>
  <si>
    <t>TC_20</t>
  </si>
  <si>
    <t>Verify that a user can successfully add a new address</t>
  </si>
  <si>
    <t>1. Navigate to the "Add New Address" page.
2. Enter valid details in all mandatory fields.
3. Click on "Submit".
4. Verify that the address is saved and appears in the address list.</t>
  </si>
  <si>
    <t>- Country: Banglades
- Name: Jannatul Jannat
- Mobile Number: 01613995833
- ZIP Code:Dhaka12 
- Address: Uttara Azampur
- City: Dhaka, Bangladesh
- State: NY</t>
  </si>
  <si>
    <t>Address should be successfully added and displayed in the list</t>
  </si>
  <si>
    <t>Address is successfully added and displayed in the list</t>
  </si>
  <si>
    <t>RQ_21</t>
  </si>
  <si>
    <t>The "Continue" button should be enabled after selecting an address.</t>
  </si>
  <si>
    <t>TC_21</t>
  </si>
  <si>
    <t>Verify that the "Continue" button is enabled after selecting an address</t>
  </si>
  <si>
    <t>Functional/UI</t>
  </si>
  <si>
    <t>1. Navigate to the address selection page.
2. Select an available address.
3. Observe if the "Continue" button becomes enabled.
4. Click "Continue" and verify navigation</t>
  </si>
  <si>
    <t>Selected Address: Jannatul Jannat, Dhaka, Bangladesh</t>
  </si>
  <si>
    <t>The "Continue" button should be enabled after selecting an address and should navigate to the next step</t>
  </si>
  <si>
    <t>The "Continue" button is enabled and works as expected</t>
  </si>
  <si>
    <t>RQ_22</t>
  </si>
  <si>
    <t>The user should be able to select a delivery speed and proceed to the next step</t>
  </si>
  <si>
    <t>TC_22</t>
  </si>
  <si>
    <t>Verify the ability to select a delivery speed and continue</t>
  </si>
  <si>
    <t>1. Navigate to the Choose a delivery speed page.
2. Select a delivery speed (e.g. Fast Delivery).
3. Click the Continue button.</t>
  </si>
  <si>
    <t>The selected delivery speed should be applied, and the user should be redirected to the next step</t>
  </si>
  <si>
    <t>RQ_23</t>
  </si>
  <si>
    <t>The user should be able to select a payment method and proceed to the next step</t>
  </si>
  <si>
    <t>TC_23</t>
  </si>
  <si>
    <t>Verify the ability to select a payment method and proceed</t>
  </si>
  <si>
    <t>1. Navigate to the My Payment Options page.
2. Select a saved payment method.
3. Click the Continue button</t>
  </si>
  <si>
    <t>The selected payment method should be applied, and the user should be redirected to the next step</t>
  </si>
  <si>
    <t>RQ_24</t>
  </si>
  <si>
    <t>User should be able to review and place an order with selected payment method</t>
  </si>
  <si>
    <t>TC_24</t>
  </si>
  <si>
    <t>Verify the ability to place an order and complete payment</t>
  </si>
  <si>
    <t>1. Navigate to the Order Summary page.
2. Verify the Delivery Address, Payment Method, and Order Items.
3. Click the Place your order and pay button</t>
  </si>
  <si>
    <t>The order should be placed successfully, and the user should receive a confirmation message</t>
  </si>
  <si>
    <t>The order is placed successfully, and the user is receive a confirmation message</t>
  </si>
  <si>
    <t>RQ_25</t>
  </si>
  <si>
    <t>User should see a confirmation message with order details, delivery time, and order summary after placing an order</t>
  </si>
  <si>
    <t>TC_25</t>
  </si>
  <si>
    <t>Verify Order Completion and Confirmation Page</t>
  </si>
  <si>
    <t>1. Complete the checkout process and place the order.
2. Verify that a confirmation message "Thank you for your purchase!" is displayed.
3. Check that the Delivery Address, Order Summary, and Total Price are correct.
4. Ensure that the expected delivery time is shown.
5. Verify that bonus points are awarded if applicable</t>
  </si>
  <si>
    <t>Different payment methods (Credit Card, Wallet, etc.)</t>
  </si>
  <si>
    <t>The confirmation page should display the order summary, delivery details, and a success message</t>
  </si>
  <si>
    <t>The confirmation page is display the order summary, delivery details, and a success message</t>
  </si>
  <si>
    <t>RQ_26</t>
  </si>
  <si>
    <t>User should be able to access the Account menu</t>
  </si>
  <si>
    <t>TC_26</t>
  </si>
  <si>
    <t>Verify that the Account menu opens correctly</t>
  </si>
  <si>
    <t>Click on the "Account" button</t>
  </si>
  <si>
    <t>Dropdown menu should appear</t>
  </si>
  <si>
    <t>RQ_27</t>
  </si>
  <si>
    <t>Logged-in user's email should be displayed correctly</t>
  </si>
  <si>
    <t>TC_27</t>
  </si>
  <si>
    <t>Verify that the logged-in user's email is displayed correctly</t>
  </si>
  <si>
    <t>Check if the email shown matches the logged-in user.</t>
  </si>
  <si>
    <t>Logged-in user email</t>
  </si>
  <si>
    <t>Correct email should be displayed</t>
  </si>
  <si>
    <t>Correct email is displayed</t>
  </si>
  <si>
    <t>RQ_28</t>
  </si>
  <si>
    <t>User should be able to view order history with details</t>
  </si>
  <si>
    <t>TC_28</t>
  </si>
  <si>
    <t>Verify that the Order History page opens correctly</t>
  </si>
  <si>
    <t>Click on "Order History"</t>
  </si>
  <si>
    <t>Order history page should open</t>
  </si>
  <si>
    <t>Order history page is successfully open</t>
  </si>
  <si>
    <t>RQ_29</t>
  </si>
  <si>
    <t>User should be able to request a recycling box.</t>
  </si>
  <si>
    <t>TC_29</t>
  </si>
  <si>
    <t>Verify that the Recycle option works</t>
  </si>
  <si>
    <t>Click on "Recycle" and check functionality</t>
  </si>
  <si>
    <t>Recycle page should load correctly</t>
  </si>
  <si>
    <t>Recycle page loads correctly, and a confirmation message appears: "Thank you for using our eco-friendly recycling self-service.</t>
  </si>
  <si>
    <t>RQ_30</t>
  </si>
  <si>
    <t>User should be able to access the Saved Addresses page</t>
  </si>
  <si>
    <t>TC_30</t>
  </si>
  <si>
    <t>Verify that the Saved Addresses page opens correctly</t>
  </si>
  <si>
    <t>Click on "My Saved Addresses"</t>
  </si>
  <si>
    <t>Saved addresses page should open</t>
  </si>
  <si>
    <t>Page opens as expected</t>
  </si>
  <si>
    <t>RQ_31</t>
  </si>
  <si>
    <t>User should be able to access the My Payment Options page.</t>
  </si>
  <si>
    <t>TC_31</t>
  </si>
  <si>
    <t>Verify that the My Payment Options page opens</t>
  </si>
  <si>
    <t>Click on "My Payment Options"</t>
  </si>
  <si>
    <t>Payment options page should load correctly</t>
  </si>
  <si>
    <t>Page loads successfully with saved cards displayed</t>
  </si>
  <si>
    <t>RQ_32</t>
  </si>
  <si>
    <t>User should be able to access the Digital Wallet page</t>
  </si>
  <si>
    <t>TC_32</t>
  </si>
  <si>
    <t>Verify that the Digital Wallet page opens</t>
  </si>
  <si>
    <t>Click on "Digital Wallet"</t>
  </si>
  <si>
    <t>Digital Wallet page should load correctly</t>
  </si>
  <si>
    <t>Page loads successfully with wallet balance displayed</t>
  </si>
  <si>
    <t>RQ_33</t>
  </si>
  <si>
    <t>User should be able to expand the Orders &amp; Payment section</t>
  </si>
  <si>
    <t>TC_33</t>
  </si>
  <si>
    <t>Verify that the Orders &amp; Payment section expands</t>
  </si>
  <si>
    <t>Click on "Orders &amp; Payment"</t>
  </si>
  <si>
    <t>It should expand and show more options</t>
  </si>
  <si>
    <t>Section expands correctly, displaying additional options</t>
  </si>
  <si>
    <t>RQ_34</t>
  </si>
  <si>
    <t>Users should be able to view the Privacy Policy</t>
  </si>
  <si>
    <t>TC_34</t>
  </si>
  <si>
    <t>Verify that the Privacy &amp; Security section expands</t>
  </si>
  <si>
    <t>Click on "Privacy Policy" from the Privacy &amp; Security menu</t>
  </si>
  <si>
    <t>It should expand and show security options</t>
  </si>
  <si>
    <t>Expand and show security options</t>
  </si>
  <si>
    <t>RQ_35</t>
  </si>
  <si>
    <t>Users should be able to request data export in different formats</t>
  </si>
  <si>
    <t>TC_35</t>
  </si>
  <si>
    <t>Verify that the Request Data Export feature works</t>
  </si>
  <si>
    <t>Click on "Request Data Export" and select a format (JSON, PDF, or Excel). Click "Request"</t>
  </si>
  <si>
    <t>JSON, PDF, Excel</t>
  </si>
  <si>
    <t>Data export should be processed, and a new browser window should open with the file</t>
  </si>
  <si>
    <t>Only JSON export is working; PDF and Excel are not functioning</t>
  </si>
  <si>
    <t>Bug: PDF and Excel export not working. Needs fixing</t>
  </si>
  <si>
    <t>RQ_36</t>
  </si>
  <si>
    <t>Users should not be able to request export without selecting a format</t>
  </si>
  <si>
    <t>TC_36</t>
  </si>
  <si>
    <t>Verify that clicking "Request" without selecting a format does not proceed</t>
  </si>
  <si>
    <t>Try clicking "Request" without selecting JSON, PDF, or Excel</t>
  </si>
  <si>
    <t>System should show an error or disable the button</t>
  </si>
  <si>
    <t>Button is disabled, preventing the request. Works as expected</t>
  </si>
  <si>
    <t>RQ_37</t>
  </si>
  <si>
    <t>Verify correct file format and data accuracy in the exported file</t>
  </si>
  <si>
    <t>TC_37</t>
  </si>
  <si>
    <t>Verify that the downloaded file matches the selected format</t>
  </si>
  <si>
    <t>Select JSON and click "Request". Open the downloaded file and check data</t>
  </si>
  <si>
    <t>JSON</t>
  </si>
  <si>
    <t>The file should be in the correct format and contain accurate user data</t>
  </si>
  <si>
    <t>JSON file is generated successfully. Data is accurate and matches the user's details</t>
  </si>
  <si>
    <t>RQ_38</t>
  </si>
  <si>
    <t>Users must complete a CAPTCHA before requesting data export</t>
  </si>
  <si>
    <t>TC_38</t>
  </si>
  <si>
    <t>Verify that the CAPTCHA must be correctly entered before the request is submitted</t>
  </si>
  <si>
    <t>Try submitting the request without entering the CAPTCHA</t>
  </si>
  <si>
    <t>The "Request" button should remain disabled until the CAPTCHA is correctly entered</t>
  </si>
  <si>
    <t>The "Request" button remains disabled until the CAPTCHA is entered correctly. The system does not allow submission without CAPTCHA</t>
  </si>
  <si>
    <t>RQ_39</t>
  </si>
  <si>
    <t>Verify incorrect CAPTCHA handling</t>
  </si>
  <si>
    <t>TC_39</t>
  </si>
  <si>
    <t>Verify that entering an incorrect CAPTCHA prevents export request submission</t>
  </si>
  <si>
    <t>Enter an incorrect CAPTCHA and click "Request"</t>
  </si>
  <si>
    <t>Wrong CAPTCHA input (e.g. e5vrG instead of E5VRG)</t>
  </si>
  <si>
    <t>The system should display an error message and prevent submission</t>
  </si>
  <si>
    <t>Wrong answer to CAPTCHA. Please try again.</t>
  </si>
  <si>
    <t>RQ_40</t>
  </si>
  <si>
    <t>Verify correct CAPTCHA entry allows request submission</t>
  </si>
  <si>
    <t>TC_40</t>
  </si>
  <si>
    <t>Verify that entering the correct CAPTCHA enables the "Request" button and allows submission</t>
  </si>
  <si>
    <t>Enter the correct CAPTCHA and click "Request</t>
  </si>
  <si>
    <t>Correct CAPTCHA input</t>
  </si>
  <si>
    <t>The request should be successfully processed, and data should be exported.</t>
  </si>
  <si>
    <t>CAPTCHA validation works, and request is processed</t>
  </si>
  <si>
    <t>RQ_41</t>
  </si>
  <si>
    <t>Verify JSON response format and data accuracy</t>
  </si>
  <si>
    <t>TC_41</t>
  </si>
  <si>
    <t>Verify that the exported JSON file contains the correct user data.</t>
  </si>
  <si>
    <t>Select "JSON" as the export format, enter CAPTCHA, and request export</t>
  </si>
  <si>
    <t>JSON format</t>
  </si>
  <si>
    <t>The exported file should contain valid user details in JSON format</t>
  </si>
  <si>
    <t>Valid JSON file with correct user data exported</t>
  </si>
  <si>
    <t>RQ_42</t>
  </si>
  <si>
    <t>Verify JSON response for users with no order history or activity</t>
  </si>
  <si>
    <t>TC_42</t>
  </si>
  <si>
    <t>Verify that a JSON response is correctly formatted even if the user has no orders, reviews, or memories</t>
  </si>
  <si>
    <t>Request data export for an inactive user</t>
  </si>
  <si>
    <t>JSON should be valid and should return empty arrays ("orders": [], "reviews": [], "memories": []).</t>
  </si>
  <si>
    <t>JSON is  valid and return empty arrays{ "username": "", "email": "jannatulferdous72001@gmail.com", "orders": [], "reviews": [], "memories": [] }</t>
  </si>
  <si>
    <t>RQ_43</t>
  </si>
  <si>
    <t>Verify browser behavior when exporting JSON data</t>
  </si>
  <si>
    <t>TC_43</t>
  </si>
  <si>
    <t>Verify that the JSON export opens in a new browser window/tab instead of downloading directly</t>
  </si>
  <si>
    <t>Request JSON data export</t>
  </si>
  <si>
    <t>The JSON should open in a new tab, not be downloaded automatically</t>
  </si>
  <si>
    <t>JSON is successfully open in a new tab, not be downloaded automatically</t>
  </si>
  <si>
    <t>RQ_44</t>
  </si>
  <si>
    <t>Verify security of direct JSON export URL</t>
  </si>
  <si>
    <t>TC_44</t>
  </si>
  <si>
    <t>Check if the exported JSON URL can be accessed directly without authentication</t>
  </si>
  <si>
    <t>Copy the JSON export link and try to open it in a different browser session or incognito mode</t>
  </si>
  <si>
    <t>JSON export URL</t>
  </si>
  <si>
    <t>The JSON export link should not be accessible without authentication</t>
  </si>
  <si>
    <t>The JSON export link is accessible without authentication</t>
  </si>
  <si>
    <t>RQ_45</t>
  </si>
  <si>
    <t>Verify that multiple data export requests can be made.</t>
  </si>
  <si>
    <t>TC_45</t>
  </si>
  <si>
    <t>Verify that a user can request data export multiple times</t>
  </si>
  <si>
    <t>Click "Request" multiple times with different formats</t>
  </si>
  <si>
    <t>Each request should be processed, and separate files should be generated.</t>
  </si>
  <si>
    <t>Request Data Export:PDF and Excel does not work</t>
  </si>
  <si>
    <t>RQ_46</t>
  </si>
  <si>
    <t>Verify that unauthorized users cannot access the Data Export page</t>
  </si>
  <si>
    <t>TC_46</t>
  </si>
  <si>
    <t>Verify that users without an account cannot access the feature.</t>
  </si>
  <si>
    <t>Open the Data Export page while logged out</t>
  </si>
  <si>
    <t>The page should redirect to the login page or show an error</t>
  </si>
  <si>
    <t>The page is redirect to the login page or show an error(objective)</t>
  </si>
  <si>
    <t>RQ_47</t>
  </si>
  <si>
    <t>Verify that the exported file download link expires after some time</t>
  </si>
  <si>
    <t>TC_47</t>
  </si>
  <si>
    <t>Check if the generated download link expires after a defined period.</t>
  </si>
  <si>
    <t>Request data export, wait for a certain period, then try to download</t>
  </si>
  <si>
    <t>The link should expire after a reasonable duration for security reasons</t>
  </si>
  <si>
    <t xml:space="preserve">The link is expire after a reasonable duration </t>
  </si>
  <si>
    <t>RQ_48</t>
  </si>
  <si>
    <t>Users should be able to request data erasure</t>
  </si>
  <si>
    <t>TC_48</t>
  </si>
  <si>
    <t>Verify that the Request Data Erasure feature works</t>
  </si>
  <si>
    <t>Click on "Request Data Erasure" and confirm the request.</t>
  </si>
  <si>
    <t>Logged-in user (admin123@gmail.com)</t>
  </si>
  <si>
    <t>Confirmation message should appear, and the request should be logged successfully.</t>
  </si>
  <si>
    <t>The system displays a 500 Server Error instead of handling the request properly</t>
  </si>
  <si>
    <t>RQ_49</t>
  </si>
  <si>
    <t>Users should be able to change their password securely.</t>
  </si>
  <si>
    <t>TC_49</t>
  </si>
  <si>
    <t>Verify that users can change their password successfully</t>
  </si>
  <si>
    <t>Click "Change Password," enter old and new passwords, and submit</t>
  </si>
  <si>
    <t>Old password:@@admin123@@ 
New password:@@user123@@</t>
  </si>
  <si>
    <t>Password should update successfully, and confirmation should be displayed</t>
  </si>
  <si>
    <t>Password is successfully changed</t>
  </si>
  <si>
    <t>RQ_50</t>
  </si>
  <si>
    <t>Users should be able to configure 2FA authentication</t>
  </si>
  <si>
    <t>TC_50</t>
  </si>
  <si>
    <t>Verify that the 2FA setup process works correctly</t>
  </si>
  <si>
    <t>1. Navigate to 2FA Configuration page.
2. Scan the QR code using an authenticator app.
3. Enter the correct password.
4. Enter the generated OTP token.
5. Click Save</t>
  </si>
  <si>
    <t>Email: admin123@gmail.com
Password: @@user123@@
OTP Token: (Generated by the authenticator app)</t>
  </si>
  <si>
    <t>2FA setup should be successful, and OTP should be required at next login</t>
  </si>
  <si>
    <t>Failed to change 2FA setup. "The token appears to be invalid." message displayed</t>
  </si>
  <si>
    <t>RQ_51</t>
  </si>
  <si>
    <t>Users should not be able to configure 2FA with an invalid token</t>
  </si>
  <si>
    <t>TC_51</t>
  </si>
  <si>
    <t>Verify that entering an incorrect OTP does not enable 2FA</t>
  </si>
  <si>
    <t>Negative</t>
  </si>
  <si>
    <t>1. Navigate to 2FA Configuration page.
2. Scan the QR code using an authenticator app.
3. Enter the correct password.
4. Enter an incorrect OTP (random number).
5. Click Save.</t>
  </si>
  <si>
    <t xml:space="preserve"> OTP: 100100</t>
  </si>
  <si>
    <t>An error message should appear: The token appears to be invalid</t>
  </si>
  <si>
    <t>The system correctly displayed an error message</t>
  </si>
  <si>
    <t>RQ_52</t>
  </si>
  <si>
    <t>The system should display the user's last login IP</t>
  </si>
  <si>
    <t>TC_52</t>
  </si>
  <si>
    <t>Verify that the correct IP address is displayed on the Last Login IP page</t>
  </si>
  <si>
    <t>1. Log in to the application.
2. Navigate to Privacy &amp; Security &gt; Last Login IP.
3. Check if the correct IP address is displayed</t>
  </si>
  <si>
    <t>User's real IP address</t>
  </si>
  <si>
    <t>The actual IP address of the user should be displayed</t>
  </si>
  <si>
    <t>0.0.0.0 is displayed instead of the actual IP.</t>
  </si>
  <si>
    <t>RQ_53</t>
  </si>
  <si>
    <t>Users should be able to log out successfully</t>
  </si>
  <si>
    <t>TC_53</t>
  </si>
  <si>
    <t>Verify that the logout functionality works correctly</t>
  </si>
  <si>
    <t>Click on the "Logout" button</t>
  </si>
  <si>
    <t>User should be logged out and redirected to the login page</t>
  </si>
  <si>
    <t>Works as expected</t>
  </si>
  <si>
    <t>RQ_54</t>
  </si>
  <si>
    <t>Users should be able to update their profile (email, username, and profile picture)</t>
  </si>
  <si>
    <t>TC_54</t>
  </si>
  <si>
    <t>Verify that users can update their username successfully</t>
  </si>
  <si>
    <t>Enter a new username and click "Set Username"</t>
  </si>
  <si>
    <t>Valid username: jannat0711</t>
  </si>
  <si>
    <t>The username should be updated successfully</t>
  </si>
  <si>
    <t>The username is updated successfully</t>
  </si>
  <si>
    <t>RQ_55</t>
  </si>
  <si>
    <t>Users should be able to upload a profile picture</t>
  </si>
  <si>
    <t>TC_55</t>
  </si>
  <si>
    <t>Verify that users can upload a profile picture using the file upload option</t>
  </si>
  <si>
    <t>Click "Choose File," select an image, and click "Upload Picture"</t>
  </si>
  <si>
    <t>Valid image file (JPG, PNG)</t>
  </si>
  <si>
    <t>The profile picture should be updated successfully</t>
  </si>
  <si>
    <t>The profile picture is updated successfully</t>
  </si>
  <si>
    <t>RQ_56</t>
  </si>
  <si>
    <t>Users should be able to set a profile picture using an image URL</t>
  </si>
  <si>
    <t>TC_56</t>
  </si>
  <si>
    <t>Verify that users can set their profile picture using a URL</t>
  </si>
  <si>
    <t>Enter a valid image URL and click "Link Image"</t>
  </si>
  <si>
    <t>Valid image URL</t>
  </si>
  <si>
    <t>The profile picture should update with the linked image</t>
  </si>
  <si>
    <t>The profile picture does not update with the linked image</t>
  </si>
  <si>
    <t>RQ_57</t>
  </si>
  <si>
    <t xml:space="preserve">Implement pagination to navigate through a large dataset	</t>
  </si>
  <si>
    <t>TC_57</t>
  </si>
  <si>
    <t>Verify that pagination controls allow users to navigate between pages</t>
  </si>
  <si>
    <t>Click the "Next" or "Previous" button to move between pages</t>
  </si>
  <si>
    <t>Clickable pagination controls</t>
  </si>
  <si>
    <t>The user should be able to navigate through different pages</t>
  </si>
  <si>
    <t>Working as expected</t>
  </si>
  <si>
    <t>RQ_58</t>
  </si>
  <si>
    <t>Implement a dropdown to select the number of items per page</t>
  </si>
  <si>
    <t>TC_58</t>
  </si>
  <si>
    <t>Verify that changing "Items per page" updates the displayed items</t>
  </si>
  <si>
    <t>Select different values from the dropdown</t>
  </si>
  <si>
    <t>Items per page: 10, 20, 50</t>
  </si>
  <si>
    <t>The number of items displayed should update accordingl</t>
  </si>
  <si>
    <t>RQ_59</t>
  </si>
  <si>
    <t>Ensure pagination displays the correct range and total count</t>
  </si>
  <si>
    <t>TC_59</t>
  </si>
  <si>
    <t>Verify that the displayed range updates correctly</t>
  </si>
  <si>
    <t>Navigate through pages and observe the item range</t>
  </si>
  <si>
    <t>Total items: 37</t>
  </si>
  <si>
    <t>The range should update dynamically based on selected items per page</t>
  </si>
  <si>
    <t>RQ_60</t>
  </si>
  <si>
    <t>Verify that users can add product reviews</t>
  </si>
  <si>
    <t>TC_60</t>
  </si>
  <si>
    <t>Verify that users can submit a product review</t>
  </si>
  <si>
    <t xml:space="preserve">1. Navigate to the Juice Shop website.  2. Select a product (e.g. Apple Pomace) 3. Scroll to the "Write a review" section.  4. Enter a review (e.g. "fresh juice")      5. Click the Submit button.  </t>
  </si>
  <si>
    <t>Review: "fresh juice"</t>
  </si>
  <si>
    <t xml:space="preserve"> The review should be visible under the product's reviews section</t>
  </si>
  <si>
    <t xml:space="preserve"> The review is successfully added in the reviews section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</si>
</sst>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b/>
      <sz val="12.0"/>
      <color theme="1"/>
      <name val="Calibri"/>
    </font>
    <font/>
    <font>
      <sz val="12.0"/>
      <color theme="1"/>
      <name val="Calibri"/>
    </font>
    <font>
      <b/>
      <sz val="12.0"/>
      <color rgb="FF000000"/>
      <name val="Calibri"/>
    </font>
    <font>
      <sz val="13.0"/>
      <color theme="1"/>
      <name val="Calibri"/>
    </font>
    <font>
      <color theme="1"/>
      <name val="Arial"/>
      <scheme val="minor"/>
    </font>
  </fonts>
  <fills count="8">
    <fill>
      <patternFill patternType="none"/>
    </fill>
    <fill>
      <patternFill patternType="lightGray"/>
    </fill>
    <fill>
      <patternFill patternType="solid">
        <fgColor rgb="FFC6D9F0"/>
        <bgColor rgb="FFC6D9F0"/>
      </patternFill>
    </fill>
    <fill>
      <patternFill patternType="solid">
        <fgColor rgb="FFD6E3BC"/>
        <bgColor rgb="FFD6E3BC"/>
      </patternFill>
    </fill>
    <fill>
      <patternFill patternType="solid">
        <fgColor rgb="FFFFFFFF"/>
        <bgColor rgb="FFFFFFFF"/>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3"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1" fillId="0" fontId="1" numFmtId="164" xfId="0" applyAlignment="1" applyBorder="1" applyFont="1" applyNumberFormat="1">
      <alignment horizontal="center" readingOrder="0" shrinkToFit="0" vertical="center" wrapText="1"/>
    </xf>
    <xf borderId="3" fillId="2" fontId="4" numFmtId="0" xfId="0" applyAlignment="1" applyBorder="1" applyFont="1">
      <alignment horizontal="center" shrinkToFit="0" vertical="center" wrapText="1"/>
    </xf>
    <xf borderId="3" fillId="0" fontId="3" numFmtId="164" xfId="0" applyAlignment="1" applyBorder="1" applyFont="1" applyNumberFormat="1">
      <alignment horizontal="center" shrinkToFit="0" vertical="center" wrapText="1"/>
    </xf>
    <xf borderId="3" fillId="2" fontId="3" numFmtId="0" xfId="0" applyAlignment="1" applyBorder="1" applyFont="1">
      <alignment horizontal="center"/>
    </xf>
    <xf borderId="3" fillId="0" fontId="3" numFmtId="0" xfId="0" applyAlignment="1" applyBorder="1" applyFont="1">
      <alignment horizontal="center"/>
    </xf>
    <xf borderId="4" fillId="0" fontId="2" numFmtId="0" xfId="0" applyBorder="1" applyFont="1"/>
    <xf borderId="4" fillId="2" fontId="1" numFmtId="0" xfId="0" applyAlignment="1" applyBorder="1" applyFont="1">
      <alignment horizontal="center" shrinkToFit="0" vertical="center" wrapText="1"/>
    </xf>
    <xf borderId="1" fillId="2" fontId="1" numFmtId="0" xfId="0" applyAlignment="1" applyBorder="1" applyFont="1">
      <alignment horizontal="center"/>
    </xf>
    <xf borderId="1" fillId="2"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0" fillId="0" fontId="3" numFmtId="0" xfId="0" applyAlignment="1" applyFont="1">
      <alignment shrinkToFit="0" vertical="center" wrapText="1"/>
    </xf>
    <xf borderId="1" fillId="0" fontId="1" numFmtId="164" xfId="0" applyAlignment="1" applyBorder="1" applyFont="1" applyNumberFormat="1">
      <alignment horizontal="center" shrinkToFit="0" vertical="center" wrapText="1"/>
    </xf>
    <xf borderId="3" fillId="3" fontId="1" numFmtId="0" xfId="0" applyAlignment="1" applyBorder="1" applyFill="1" applyFont="1">
      <alignment horizontal="center" shrinkToFit="0" vertical="center" wrapText="1"/>
    </xf>
    <xf borderId="3" fillId="4" fontId="3" numFmtId="0" xfId="0" applyAlignment="1" applyBorder="1" applyFill="1" applyFont="1">
      <alignment horizontal="center" shrinkToFit="0" vertical="center" wrapText="1"/>
    </xf>
    <xf borderId="3" fillId="4"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3" fillId="2" fontId="3" numFmtId="0" xfId="0" applyAlignment="1" applyBorder="1" applyFont="1">
      <alignment horizontal="center" shrinkToFit="0" vertical="center" wrapText="1"/>
    </xf>
    <xf borderId="3" fillId="5" fontId="1"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3" fillId="7" fontId="1" numFmtId="0" xfId="0" applyAlignment="1" applyBorder="1" applyFill="1" applyFont="1">
      <alignment horizontal="center" shrinkToFit="0" vertical="center" wrapText="1"/>
    </xf>
    <xf borderId="3" fillId="7" fontId="4"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3" fillId="0" fontId="3"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center" wrapText="1"/>
    </xf>
    <xf borderId="3" fillId="0" fontId="3" numFmtId="0" xfId="0" applyAlignment="1" applyBorder="1" applyFont="1">
      <alignment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6" numFmtId="0" xfId="0" applyFont="1"/>
  </cellXfs>
  <cellStyles count="1">
    <cellStyle xfId="0" name="Normal" builtinId="0"/>
  </cellStyles>
  <dxfs count="6">
    <dxf>
      <font>
        <b/>
      </font>
      <fill>
        <patternFill patternType="solid">
          <fgColor rgb="FF00FF00"/>
          <bgColor rgb="FF00FF00"/>
        </patternFill>
      </fill>
      <border/>
    </dxf>
    <dxf>
      <font>
        <b/>
      </font>
      <fill>
        <patternFill patternType="solid">
          <fgColor rgb="FFFF0000"/>
          <bgColor rgb="FFFF0000"/>
        </patternFill>
      </fill>
      <border/>
    </dxf>
    <dxf>
      <font>
        <b/>
      </font>
      <fill>
        <patternFill patternType="solid">
          <fgColor rgb="FFB7B7B7"/>
          <bgColor rgb="FFB7B7B7"/>
        </patternFill>
      </fill>
      <border/>
    </dxf>
    <dxf>
      <font>
        <b/>
      </font>
      <fill>
        <patternFill patternType="solid">
          <fgColor rgb="FFE06666"/>
          <bgColor rgb="FFE06666"/>
        </patternFill>
      </fill>
      <border/>
    </dxf>
    <dxf>
      <font>
        <b/>
      </font>
      <fill>
        <patternFill patternType="solid">
          <fgColor rgb="FFEA9999"/>
          <bgColor rgb="FFEA9999"/>
        </patternFill>
      </fill>
      <border/>
    </dxf>
    <dxf>
      <font>
        <b/>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12.63"/>
    <col customWidth="1" min="2" max="2" width="21.75"/>
    <col customWidth="1" min="3" max="3" width="12.63"/>
    <col customWidth="1" min="4" max="4" width="25.38"/>
    <col customWidth="1" min="5" max="6" width="12.63"/>
    <col customWidth="1" min="7" max="7" width="33.63"/>
    <col customWidth="1" min="8" max="8" width="33.38"/>
    <col customWidth="1" min="9" max="9" width="30.75"/>
    <col customWidth="1" min="10" max="10" width="29.13"/>
    <col customWidth="1" min="15" max="15" width="20.5"/>
  </cols>
  <sheetData>
    <row r="1" ht="15.75" customHeight="1">
      <c r="A1" s="1" t="s">
        <v>0</v>
      </c>
      <c r="B1" s="2"/>
      <c r="C1" s="3" t="s">
        <v>1</v>
      </c>
      <c r="D1" s="4" t="s">
        <v>2</v>
      </c>
      <c r="E1" s="5">
        <v>45707.0</v>
      </c>
      <c r="F1" s="2"/>
      <c r="G1" s="6" t="s">
        <v>3</v>
      </c>
      <c r="H1" s="7"/>
      <c r="I1" s="8"/>
      <c r="J1" s="9"/>
      <c r="K1" s="1" t="s">
        <v>4</v>
      </c>
      <c r="L1" s="10"/>
      <c r="M1" s="11" t="s">
        <v>5</v>
      </c>
      <c r="N1" s="2"/>
      <c r="O1" s="12" t="s">
        <v>6</v>
      </c>
      <c r="P1" s="2"/>
      <c r="Q1" s="13"/>
      <c r="R1" s="2"/>
      <c r="S1" s="14"/>
      <c r="T1" s="15"/>
      <c r="U1" s="15"/>
      <c r="V1" s="15"/>
      <c r="W1" s="15"/>
      <c r="X1" s="15"/>
      <c r="Y1" s="15"/>
      <c r="Z1" s="15"/>
      <c r="AA1" s="15"/>
      <c r="AB1" s="15"/>
      <c r="AC1" s="15"/>
      <c r="AD1" s="15"/>
      <c r="AE1" s="15"/>
      <c r="AF1" s="15"/>
      <c r="AG1" s="15"/>
    </row>
    <row r="2" ht="15.75" customHeight="1">
      <c r="A2" s="1" t="s">
        <v>7</v>
      </c>
      <c r="B2" s="2"/>
      <c r="C2" s="14"/>
      <c r="D2" s="4" t="s">
        <v>8</v>
      </c>
      <c r="E2" s="16"/>
      <c r="F2" s="2"/>
      <c r="G2" s="6" t="s">
        <v>9</v>
      </c>
      <c r="H2" s="7"/>
      <c r="I2" s="8"/>
      <c r="J2" s="9"/>
      <c r="K2" s="17" t="s">
        <v>10</v>
      </c>
      <c r="L2" s="18">
        <f>COUNTIF(K7:K1017, "PASS")</f>
        <v>52</v>
      </c>
      <c r="M2" s="17" t="s">
        <v>11</v>
      </c>
      <c r="N2" s="18">
        <f>COUNTIF(M7:M1017, "Critical")</f>
        <v>6</v>
      </c>
      <c r="O2" s="17" t="s">
        <v>12</v>
      </c>
      <c r="P2" s="18">
        <f>COUNTIF(N6:N1016, "High")</f>
        <v>42</v>
      </c>
      <c r="Q2" s="13"/>
      <c r="R2" s="2"/>
      <c r="S2" s="14"/>
      <c r="T2" s="15"/>
      <c r="U2" s="15"/>
      <c r="V2" s="15"/>
      <c r="W2" s="15"/>
      <c r="X2" s="15"/>
      <c r="Y2" s="15"/>
      <c r="Z2" s="15"/>
      <c r="AA2" s="15"/>
      <c r="AB2" s="15"/>
      <c r="AC2" s="15"/>
      <c r="AD2" s="15"/>
      <c r="AE2" s="15"/>
      <c r="AF2" s="15"/>
      <c r="AG2" s="15"/>
    </row>
    <row r="3" ht="15.75" customHeight="1">
      <c r="A3" s="1" t="s">
        <v>13</v>
      </c>
      <c r="B3" s="2"/>
      <c r="C3" s="19"/>
      <c r="D3" s="4" t="s">
        <v>14</v>
      </c>
      <c r="E3" s="20"/>
      <c r="F3" s="2"/>
      <c r="G3" s="21"/>
      <c r="H3" s="14"/>
      <c r="I3" s="8"/>
      <c r="J3" s="9"/>
      <c r="K3" s="17" t="s">
        <v>15</v>
      </c>
      <c r="L3" s="18">
        <f>COUNTIF(K7:K1017, "FAIL")</f>
        <v>8</v>
      </c>
      <c r="M3" s="17" t="s">
        <v>12</v>
      </c>
      <c r="N3" s="18">
        <f>COUNTIF(M7:M1017, "High")</f>
        <v>33</v>
      </c>
      <c r="O3" s="17" t="s">
        <v>16</v>
      </c>
      <c r="P3" s="18">
        <f>COUNTIF(N6:N1016, "Medium")</f>
        <v>16</v>
      </c>
      <c r="Q3" s="13"/>
      <c r="R3" s="2"/>
      <c r="S3" s="14"/>
      <c r="T3" s="15"/>
      <c r="U3" s="15"/>
      <c r="V3" s="15"/>
      <c r="W3" s="15"/>
      <c r="X3" s="15"/>
      <c r="Y3" s="15"/>
      <c r="Z3" s="15"/>
      <c r="AA3" s="15"/>
      <c r="AB3" s="15"/>
      <c r="AC3" s="15"/>
      <c r="AD3" s="15"/>
      <c r="AE3" s="15"/>
      <c r="AF3" s="15"/>
      <c r="AG3" s="15"/>
    </row>
    <row r="4" ht="15.75" customHeight="1">
      <c r="A4" s="1" t="s">
        <v>17</v>
      </c>
      <c r="B4" s="2"/>
      <c r="C4" s="19"/>
      <c r="D4" s="4" t="s">
        <v>18</v>
      </c>
      <c r="E4" s="20"/>
      <c r="F4" s="2"/>
      <c r="G4" s="21"/>
      <c r="H4" s="14"/>
      <c r="I4" s="8"/>
      <c r="J4" s="9"/>
      <c r="K4" s="17" t="s">
        <v>19</v>
      </c>
      <c r="L4" s="18">
        <f>COUNTIF(K7:K1017, "NT")</f>
        <v>0</v>
      </c>
      <c r="M4" s="17" t="s">
        <v>16</v>
      </c>
      <c r="N4" s="18">
        <f>COUNTIF(M7:M1017, "Medium")</f>
        <v>18</v>
      </c>
      <c r="O4" s="17" t="s">
        <v>20</v>
      </c>
      <c r="P4" s="18">
        <f>COUNTIF(N6:N1017, "Low")</f>
        <v>2</v>
      </c>
      <c r="Q4" s="13"/>
      <c r="R4" s="2"/>
      <c r="S4" s="14"/>
      <c r="T4" s="15"/>
      <c r="U4" s="15"/>
      <c r="V4" s="15"/>
      <c r="W4" s="15"/>
      <c r="X4" s="15"/>
      <c r="Y4" s="15"/>
      <c r="Z4" s="15"/>
      <c r="AA4" s="15"/>
      <c r="AB4" s="15"/>
      <c r="AC4" s="15"/>
      <c r="AD4" s="15"/>
      <c r="AE4" s="15"/>
      <c r="AF4" s="15"/>
      <c r="AG4" s="15"/>
    </row>
    <row r="5" ht="15.75" customHeight="1">
      <c r="A5" s="1" t="s">
        <v>21</v>
      </c>
      <c r="B5" s="2"/>
      <c r="C5" s="19"/>
      <c r="D5" s="4" t="s">
        <v>22</v>
      </c>
      <c r="E5" s="20"/>
      <c r="F5" s="2"/>
      <c r="G5" s="21"/>
      <c r="H5" s="14"/>
      <c r="I5" s="8"/>
      <c r="J5" s="9"/>
      <c r="K5" s="19" t="s">
        <v>23</v>
      </c>
      <c r="L5" s="18">
        <f>SUM(L2,L3,L4)</f>
        <v>60</v>
      </c>
      <c r="M5" s="17" t="s">
        <v>20</v>
      </c>
      <c r="N5" s="18">
        <f>COUNTIF(M7:M1018, "Low")</f>
        <v>3</v>
      </c>
      <c r="O5" s="22" t="s">
        <v>24</v>
      </c>
      <c r="P5" s="18">
        <f>COUNTIF(P7:P1017, "Accepted")</f>
        <v>1</v>
      </c>
      <c r="Q5" s="13"/>
      <c r="R5" s="2"/>
      <c r="S5" s="14"/>
      <c r="T5" s="15"/>
      <c r="U5" s="15"/>
      <c r="V5" s="15"/>
      <c r="W5" s="15"/>
      <c r="X5" s="15"/>
      <c r="Y5" s="15"/>
      <c r="Z5" s="15"/>
      <c r="AA5" s="15"/>
      <c r="AB5" s="15"/>
      <c r="AC5" s="15"/>
      <c r="AD5" s="15"/>
      <c r="AE5" s="15"/>
      <c r="AF5" s="15"/>
      <c r="AG5" s="15"/>
    </row>
    <row r="6" ht="15.75" customHeight="1">
      <c r="A6" s="23" t="s">
        <v>25</v>
      </c>
      <c r="B6" s="23" t="s">
        <v>26</v>
      </c>
      <c r="C6" s="23" t="s">
        <v>27</v>
      </c>
      <c r="D6" s="23" t="s">
        <v>28</v>
      </c>
      <c r="E6" s="23" t="s">
        <v>29</v>
      </c>
      <c r="F6" s="23" t="s">
        <v>30</v>
      </c>
      <c r="G6" s="23" t="s">
        <v>31</v>
      </c>
      <c r="H6" s="23" t="s">
        <v>32</v>
      </c>
      <c r="I6" s="23" t="s">
        <v>33</v>
      </c>
      <c r="J6" s="23" t="s">
        <v>34</v>
      </c>
      <c r="K6" s="24" t="s">
        <v>35</v>
      </c>
      <c r="L6" s="24" t="s">
        <v>36</v>
      </c>
      <c r="M6" s="23" t="s">
        <v>5</v>
      </c>
      <c r="N6" s="23" t="s">
        <v>6</v>
      </c>
      <c r="O6" s="23" t="s">
        <v>37</v>
      </c>
      <c r="P6" s="25" t="s">
        <v>38</v>
      </c>
      <c r="Q6" s="25" t="s">
        <v>39</v>
      </c>
      <c r="R6" s="25" t="s">
        <v>40</v>
      </c>
      <c r="S6" s="24" t="s">
        <v>41</v>
      </c>
      <c r="T6" s="15"/>
      <c r="U6" s="15"/>
      <c r="V6" s="15"/>
      <c r="W6" s="15"/>
      <c r="X6" s="15"/>
      <c r="Y6" s="15"/>
      <c r="Z6" s="15"/>
      <c r="AA6" s="15"/>
      <c r="AB6" s="15"/>
      <c r="AC6" s="15"/>
      <c r="AD6" s="15"/>
      <c r="AE6" s="15"/>
      <c r="AF6" s="15"/>
      <c r="AG6" s="15"/>
    </row>
    <row r="7" ht="15.75" customHeight="1">
      <c r="A7" s="3" t="s">
        <v>42</v>
      </c>
      <c r="B7" s="3" t="s">
        <v>43</v>
      </c>
      <c r="C7" s="3" t="s">
        <v>44</v>
      </c>
      <c r="D7" s="3" t="s">
        <v>45</v>
      </c>
      <c r="E7" s="26" t="s">
        <v>46</v>
      </c>
      <c r="F7" s="27"/>
      <c r="G7" s="3" t="s">
        <v>47</v>
      </c>
      <c r="H7" s="3" t="s">
        <v>48</v>
      </c>
      <c r="I7" s="3" t="s">
        <v>49</v>
      </c>
      <c r="J7" s="3" t="s">
        <v>50</v>
      </c>
      <c r="K7" s="3" t="s">
        <v>10</v>
      </c>
      <c r="L7" s="14"/>
      <c r="M7" s="3" t="s">
        <v>12</v>
      </c>
      <c r="N7" s="3" t="s">
        <v>12</v>
      </c>
      <c r="O7" s="14"/>
      <c r="P7" s="14" t="s">
        <v>51</v>
      </c>
      <c r="Q7" s="14"/>
      <c r="R7" s="14"/>
      <c r="S7" s="14" t="s">
        <v>10</v>
      </c>
      <c r="T7" s="15"/>
      <c r="U7" s="15"/>
      <c r="V7" s="15"/>
      <c r="W7" s="15"/>
      <c r="X7" s="15"/>
      <c r="Y7" s="15"/>
      <c r="Z7" s="15"/>
      <c r="AA7" s="15"/>
      <c r="AB7" s="15"/>
      <c r="AC7" s="15"/>
      <c r="AD7" s="15"/>
      <c r="AE7" s="15"/>
      <c r="AF7" s="15"/>
      <c r="AG7" s="15"/>
    </row>
    <row r="8" ht="15.75" customHeight="1">
      <c r="A8" s="3" t="s">
        <v>52</v>
      </c>
      <c r="B8" s="3" t="s">
        <v>53</v>
      </c>
      <c r="C8" s="3" t="s">
        <v>54</v>
      </c>
      <c r="D8" s="3" t="s">
        <v>55</v>
      </c>
      <c r="E8" s="26" t="s">
        <v>46</v>
      </c>
      <c r="F8" s="27"/>
      <c r="G8" s="3" t="s">
        <v>56</v>
      </c>
      <c r="H8" s="3" t="s">
        <v>48</v>
      </c>
      <c r="I8" s="3" t="s">
        <v>57</v>
      </c>
      <c r="J8" s="3" t="s">
        <v>58</v>
      </c>
      <c r="K8" s="3" t="s">
        <v>10</v>
      </c>
      <c r="L8" s="14"/>
      <c r="M8" s="14" t="s">
        <v>12</v>
      </c>
      <c r="N8" s="3" t="s">
        <v>12</v>
      </c>
      <c r="O8" s="14"/>
      <c r="P8" s="14" t="s">
        <v>59</v>
      </c>
      <c r="Q8" s="14"/>
      <c r="R8" s="14"/>
      <c r="S8" s="14"/>
      <c r="T8" s="15"/>
      <c r="U8" s="15"/>
      <c r="V8" s="15"/>
      <c r="W8" s="15"/>
      <c r="X8" s="15"/>
      <c r="Y8" s="15"/>
      <c r="Z8" s="15"/>
      <c r="AA8" s="15"/>
      <c r="AB8" s="15"/>
      <c r="AC8" s="15"/>
      <c r="AD8" s="15"/>
      <c r="AE8" s="15"/>
      <c r="AF8" s="15"/>
      <c r="AG8" s="15"/>
    </row>
    <row r="9" ht="15.75" customHeight="1">
      <c r="A9" s="3" t="s">
        <v>60</v>
      </c>
      <c r="B9" s="3" t="s">
        <v>61</v>
      </c>
      <c r="C9" s="3" t="s">
        <v>62</v>
      </c>
      <c r="D9" s="3" t="s">
        <v>63</v>
      </c>
      <c r="E9" s="26" t="s">
        <v>46</v>
      </c>
      <c r="F9" s="27"/>
      <c r="G9" s="3" t="s">
        <v>64</v>
      </c>
      <c r="H9" s="3" t="s">
        <v>65</v>
      </c>
      <c r="I9" s="3" t="s">
        <v>66</v>
      </c>
      <c r="J9" s="3" t="s">
        <v>67</v>
      </c>
      <c r="K9" s="3" t="s">
        <v>10</v>
      </c>
      <c r="L9" s="14"/>
      <c r="M9" s="3" t="s">
        <v>12</v>
      </c>
      <c r="N9" s="3" t="s">
        <v>12</v>
      </c>
      <c r="O9" s="14"/>
      <c r="P9" s="14"/>
      <c r="Q9" s="14"/>
      <c r="R9" s="14"/>
      <c r="S9" s="14"/>
      <c r="T9" s="15"/>
      <c r="U9" s="15"/>
      <c r="V9" s="15"/>
      <c r="W9" s="15"/>
      <c r="X9" s="15"/>
      <c r="Y9" s="15"/>
      <c r="Z9" s="15"/>
      <c r="AA9" s="15"/>
      <c r="AB9" s="15"/>
      <c r="AC9" s="15"/>
      <c r="AD9" s="15"/>
      <c r="AE9" s="15"/>
      <c r="AF9" s="15"/>
      <c r="AG9" s="15"/>
    </row>
    <row r="10" ht="15.75" customHeight="1">
      <c r="A10" s="3" t="s">
        <v>68</v>
      </c>
      <c r="B10" s="3" t="s">
        <v>69</v>
      </c>
      <c r="C10" s="3" t="s">
        <v>70</v>
      </c>
      <c r="D10" s="3" t="s">
        <v>71</v>
      </c>
      <c r="E10" s="26" t="s">
        <v>46</v>
      </c>
      <c r="F10" s="27"/>
      <c r="G10" s="3" t="s">
        <v>72</v>
      </c>
      <c r="H10" s="3" t="s">
        <v>48</v>
      </c>
      <c r="I10" s="3" t="s">
        <v>73</v>
      </c>
      <c r="J10" s="3" t="s">
        <v>74</v>
      </c>
      <c r="K10" s="3" t="s">
        <v>10</v>
      </c>
      <c r="L10" s="14"/>
      <c r="M10" s="3" t="s">
        <v>12</v>
      </c>
      <c r="N10" s="3" t="s">
        <v>16</v>
      </c>
      <c r="O10" s="14"/>
      <c r="P10" s="14"/>
      <c r="Q10" s="14"/>
      <c r="R10" s="14"/>
      <c r="S10" s="14"/>
      <c r="T10" s="15"/>
      <c r="U10" s="15"/>
      <c r="V10" s="15"/>
      <c r="W10" s="15"/>
      <c r="X10" s="15"/>
      <c r="Y10" s="15"/>
      <c r="Z10" s="15"/>
      <c r="AA10" s="15"/>
      <c r="AB10" s="15"/>
      <c r="AC10" s="15"/>
      <c r="AD10" s="15"/>
      <c r="AE10" s="15"/>
      <c r="AF10" s="15"/>
      <c r="AG10" s="15"/>
    </row>
    <row r="11" ht="15.75" customHeight="1">
      <c r="A11" s="3" t="s">
        <v>75</v>
      </c>
      <c r="B11" s="3" t="s">
        <v>76</v>
      </c>
      <c r="C11" s="3" t="s">
        <v>77</v>
      </c>
      <c r="D11" s="3" t="s">
        <v>78</v>
      </c>
      <c r="E11" s="26" t="s">
        <v>46</v>
      </c>
      <c r="F11" s="27"/>
      <c r="G11" s="3" t="s">
        <v>79</v>
      </c>
      <c r="H11" s="3" t="s">
        <v>48</v>
      </c>
      <c r="I11" s="3" t="s">
        <v>80</v>
      </c>
      <c r="J11" s="3" t="s">
        <v>74</v>
      </c>
      <c r="K11" s="3" t="s">
        <v>10</v>
      </c>
      <c r="L11" s="14"/>
      <c r="M11" s="3" t="s">
        <v>16</v>
      </c>
      <c r="N11" s="3" t="s">
        <v>16</v>
      </c>
      <c r="O11" s="14"/>
      <c r="P11" s="14"/>
      <c r="Q11" s="14"/>
      <c r="R11" s="14"/>
      <c r="S11" s="14"/>
      <c r="T11" s="15"/>
      <c r="U11" s="15"/>
      <c r="V11" s="15"/>
      <c r="W11" s="15"/>
      <c r="X11" s="15"/>
      <c r="Y11" s="15"/>
      <c r="Z11" s="15"/>
      <c r="AA11" s="15"/>
      <c r="AB11" s="15"/>
      <c r="AC11" s="15"/>
      <c r="AD11" s="15"/>
      <c r="AE11" s="15"/>
      <c r="AF11" s="15"/>
      <c r="AG11" s="15"/>
    </row>
    <row r="12" ht="15.75" customHeight="1">
      <c r="A12" s="3" t="s">
        <v>81</v>
      </c>
      <c r="B12" s="3" t="s">
        <v>82</v>
      </c>
      <c r="C12" s="3" t="s">
        <v>83</v>
      </c>
      <c r="D12" s="3" t="s">
        <v>84</v>
      </c>
      <c r="E12" s="26" t="s">
        <v>46</v>
      </c>
      <c r="F12" s="27"/>
      <c r="G12" s="3" t="s">
        <v>85</v>
      </c>
      <c r="H12" s="3" t="s">
        <v>86</v>
      </c>
      <c r="I12" s="3" t="s">
        <v>87</v>
      </c>
      <c r="J12" s="3" t="s">
        <v>88</v>
      </c>
      <c r="K12" s="3" t="s">
        <v>10</v>
      </c>
      <c r="L12" s="14"/>
      <c r="M12" s="3" t="s">
        <v>12</v>
      </c>
      <c r="N12" s="3" t="s">
        <v>12</v>
      </c>
      <c r="O12" s="14"/>
      <c r="P12" s="14"/>
      <c r="Q12" s="14"/>
      <c r="R12" s="14"/>
      <c r="S12" s="14"/>
      <c r="T12" s="15"/>
      <c r="U12" s="15"/>
      <c r="V12" s="15"/>
      <c r="W12" s="15"/>
      <c r="X12" s="15"/>
      <c r="Y12" s="15"/>
      <c r="Z12" s="15"/>
      <c r="AA12" s="15"/>
      <c r="AB12" s="15"/>
      <c r="AC12" s="15"/>
      <c r="AD12" s="15"/>
      <c r="AE12" s="15"/>
      <c r="AF12" s="15"/>
      <c r="AG12" s="15"/>
    </row>
    <row r="13" ht="15.75" customHeight="1">
      <c r="A13" s="3" t="s">
        <v>89</v>
      </c>
      <c r="B13" s="3" t="s">
        <v>90</v>
      </c>
      <c r="C13" s="3" t="s">
        <v>91</v>
      </c>
      <c r="D13" s="3" t="s">
        <v>92</v>
      </c>
      <c r="E13" s="26" t="s">
        <v>46</v>
      </c>
      <c r="F13" s="27"/>
      <c r="G13" s="3" t="s">
        <v>93</v>
      </c>
      <c r="H13" s="3" t="s">
        <v>94</v>
      </c>
      <c r="I13" s="3" t="s">
        <v>95</v>
      </c>
      <c r="J13" s="3" t="s">
        <v>96</v>
      </c>
      <c r="K13" s="3" t="s">
        <v>10</v>
      </c>
      <c r="L13" s="14"/>
      <c r="M13" s="3" t="s">
        <v>12</v>
      </c>
      <c r="N13" s="3" t="s">
        <v>12</v>
      </c>
      <c r="O13" s="14"/>
      <c r="P13" s="14"/>
      <c r="Q13" s="14"/>
      <c r="R13" s="14"/>
      <c r="S13" s="14"/>
      <c r="T13" s="15"/>
      <c r="U13" s="15"/>
      <c r="V13" s="15"/>
      <c r="W13" s="15"/>
      <c r="X13" s="15"/>
      <c r="Y13" s="15"/>
      <c r="Z13" s="15"/>
      <c r="AA13" s="15"/>
      <c r="AB13" s="15"/>
      <c r="AC13" s="15"/>
      <c r="AD13" s="15"/>
      <c r="AE13" s="15"/>
      <c r="AF13" s="15"/>
      <c r="AG13" s="15"/>
    </row>
    <row r="14" ht="15.75" customHeight="1">
      <c r="A14" s="3" t="s">
        <v>97</v>
      </c>
      <c r="B14" s="3" t="s">
        <v>98</v>
      </c>
      <c r="C14" s="3" t="s">
        <v>99</v>
      </c>
      <c r="D14" s="3" t="s">
        <v>100</v>
      </c>
      <c r="E14" s="26" t="s">
        <v>101</v>
      </c>
      <c r="F14" s="27"/>
      <c r="G14" s="3" t="s">
        <v>102</v>
      </c>
      <c r="H14" s="3" t="s">
        <v>103</v>
      </c>
      <c r="I14" s="3" t="s">
        <v>104</v>
      </c>
      <c r="J14" s="3" t="s">
        <v>105</v>
      </c>
      <c r="K14" s="3" t="s">
        <v>10</v>
      </c>
      <c r="L14" s="14"/>
      <c r="M14" s="3" t="s">
        <v>16</v>
      </c>
      <c r="N14" s="3" t="s">
        <v>16</v>
      </c>
      <c r="O14" s="14"/>
      <c r="P14" s="14"/>
      <c r="Q14" s="14"/>
      <c r="R14" s="14"/>
      <c r="S14" s="14"/>
      <c r="T14" s="15"/>
      <c r="U14" s="15"/>
      <c r="V14" s="15"/>
      <c r="W14" s="15"/>
      <c r="X14" s="15"/>
      <c r="Y14" s="15"/>
      <c r="Z14" s="15"/>
      <c r="AA14" s="15"/>
      <c r="AB14" s="15"/>
      <c r="AC14" s="15"/>
      <c r="AD14" s="15"/>
      <c r="AE14" s="15"/>
      <c r="AF14" s="15"/>
      <c r="AG14" s="15"/>
    </row>
    <row r="15" ht="15.75" customHeight="1">
      <c r="A15" s="3" t="s">
        <v>106</v>
      </c>
      <c r="B15" s="3" t="s">
        <v>107</v>
      </c>
      <c r="C15" s="3" t="s">
        <v>108</v>
      </c>
      <c r="D15" s="3" t="s">
        <v>109</v>
      </c>
      <c r="E15" s="26" t="s">
        <v>101</v>
      </c>
      <c r="F15" s="27"/>
      <c r="G15" s="3" t="s">
        <v>110</v>
      </c>
      <c r="H15" s="3" t="s">
        <v>48</v>
      </c>
      <c r="I15" s="3" t="s">
        <v>111</v>
      </c>
      <c r="J15" s="3" t="s">
        <v>112</v>
      </c>
      <c r="K15" s="3" t="s">
        <v>10</v>
      </c>
      <c r="L15" s="14"/>
      <c r="M15" s="3" t="s">
        <v>20</v>
      </c>
      <c r="N15" s="3" t="s">
        <v>20</v>
      </c>
      <c r="O15" s="14"/>
      <c r="P15" s="14"/>
      <c r="Q15" s="14"/>
      <c r="R15" s="14"/>
      <c r="S15" s="14"/>
      <c r="T15" s="15"/>
      <c r="U15" s="15"/>
      <c r="V15" s="15"/>
      <c r="W15" s="15"/>
      <c r="X15" s="15"/>
      <c r="Y15" s="15"/>
      <c r="Z15" s="15"/>
      <c r="AA15" s="15"/>
      <c r="AB15" s="15"/>
      <c r="AC15" s="15"/>
      <c r="AD15" s="15"/>
      <c r="AE15" s="15"/>
      <c r="AF15" s="15"/>
      <c r="AG15" s="15"/>
    </row>
    <row r="16" ht="15.75" customHeight="1">
      <c r="A16" s="3" t="s">
        <v>113</v>
      </c>
      <c r="B16" s="3" t="s">
        <v>114</v>
      </c>
      <c r="C16" s="3" t="s">
        <v>115</v>
      </c>
      <c r="D16" s="3" t="s">
        <v>116</v>
      </c>
      <c r="E16" s="26" t="s">
        <v>101</v>
      </c>
      <c r="F16" s="27"/>
      <c r="G16" s="3" t="s">
        <v>103</v>
      </c>
      <c r="H16" s="3" t="s">
        <v>48</v>
      </c>
      <c r="I16" s="3" t="s">
        <v>117</v>
      </c>
      <c r="J16" s="3" t="s">
        <v>118</v>
      </c>
      <c r="K16" s="3" t="s">
        <v>10</v>
      </c>
      <c r="L16" s="14"/>
      <c r="M16" s="3" t="s">
        <v>16</v>
      </c>
      <c r="N16" s="3" t="s">
        <v>16</v>
      </c>
      <c r="O16" s="14"/>
      <c r="P16" s="14"/>
      <c r="Q16" s="14"/>
      <c r="R16" s="14"/>
      <c r="S16" s="14"/>
      <c r="T16" s="15"/>
      <c r="U16" s="15"/>
      <c r="V16" s="15"/>
      <c r="W16" s="15"/>
      <c r="X16" s="15"/>
      <c r="Y16" s="15"/>
      <c r="Z16" s="15"/>
      <c r="AA16" s="15"/>
      <c r="AB16" s="15"/>
      <c r="AC16" s="15"/>
      <c r="AD16" s="15"/>
      <c r="AE16" s="15"/>
      <c r="AF16" s="15"/>
      <c r="AG16" s="15"/>
    </row>
    <row r="17" ht="15.75" customHeight="1">
      <c r="A17" s="3" t="s">
        <v>119</v>
      </c>
      <c r="B17" s="3" t="s">
        <v>120</v>
      </c>
      <c r="C17" s="3" t="s">
        <v>121</v>
      </c>
      <c r="D17" s="3" t="s">
        <v>122</v>
      </c>
      <c r="E17" s="26" t="s">
        <v>101</v>
      </c>
      <c r="F17" s="27"/>
      <c r="G17" s="3" t="s">
        <v>123</v>
      </c>
      <c r="H17" s="3" t="s">
        <v>48</v>
      </c>
      <c r="I17" s="3" t="s">
        <v>124</v>
      </c>
      <c r="J17" s="3" t="s">
        <v>125</v>
      </c>
      <c r="K17" s="3" t="s">
        <v>10</v>
      </c>
      <c r="L17" s="14"/>
      <c r="M17" s="3" t="s">
        <v>12</v>
      </c>
      <c r="N17" s="3" t="s">
        <v>12</v>
      </c>
      <c r="O17" s="14"/>
      <c r="P17" s="14"/>
      <c r="Q17" s="14"/>
      <c r="R17" s="14"/>
      <c r="S17" s="14"/>
      <c r="T17" s="15"/>
      <c r="U17" s="15"/>
      <c r="V17" s="15"/>
      <c r="W17" s="15"/>
      <c r="X17" s="15"/>
      <c r="Y17" s="15"/>
      <c r="Z17" s="15"/>
      <c r="AA17" s="15"/>
      <c r="AB17" s="15"/>
      <c r="AC17" s="15"/>
      <c r="AD17" s="15"/>
      <c r="AE17" s="15"/>
      <c r="AF17" s="15"/>
      <c r="AG17" s="15"/>
    </row>
    <row r="18" ht="15.75" customHeight="1">
      <c r="A18" s="3" t="s">
        <v>126</v>
      </c>
      <c r="B18" s="3" t="s">
        <v>127</v>
      </c>
      <c r="C18" s="3" t="s">
        <v>128</v>
      </c>
      <c r="D18" s="3" t="s">
        <v>129</v>
      </c>
      <c r="E18" s="26" t="s">
        <v>130</v>
      </c>
      <c r="F18" s="27"/>
      <c r="G18" s="3" t="s">
        <v>131</v>
      </c>
      <c r="H18" s="3" t="s">
        <v>48</v>
      </c>
      <c r="I18" s="3" t="s">
        <v>132</v>
      </c>
      <c r="J18" s="3" t="s">
        <v>133</v>
      </c>
      <c r="K18" s="3" t="s">
        <v>10</v>
      </c>
      <c r="L18" s="14"/>
      <c r="M18" s="3" t="s">
        <v>16</v>
      </c>
      <c r="N18" s="3" t="s">
        <v>16</v>
      </c>
      <c r="O18" s="14"/>
      <c r="P18" s="14"/>
      <c r="Q18" s="14"/>
      <c r="R18" s="14"/>
      <c r="S18" s="14"/>
      <c r="T18" s="15"/>
      <c r="U18" s="15"/>
      <c r="V18" s="15"/>
      <c r="W18" s="15"/>
      <c r="X18" s="15"/>
      <c r="Y18" s="15"/>
      <c r="Z18" s="15"/>
      <c r="AA18" s="15"/>
      <c r="AB18" s="15"/>
      <c r="AC18" s="15"/>
      <c r="AD18" s="15"/>
      <c r="AE18" s="15"/>
      <c r="AF18" s="15"/>
      <c r="AG18" s="15"/>
    </row>
    <row r="19" ht="15.75" customHeight="1">
      <c r="A19" s="3" t="s">
        <v>134</v>
      </c>
      <c r="B19" s="3" t="s">
        <v>135</v>
      </c>
      <c r="C19" s="3" t="s">
        <v>136</v>
      </c>
      <c r="D19" s="3" t="s">
        <v>137</v>
      </c>
      <c r="E19" s="26" t="s">
        <v>130</v>
      </c>
      <c r="F19" s="27"/>
      <c r="G19" s="3" t="s">
        <v>138</v>
      </c>
      <c r="H19" s="3" t="s">
        <v>48</v>
      </c>
      <c r="I19" s="3" t="s">
        <v>139</v>
      </c>
      <c r="J19" s="3" t="s">
        <v>74</v>
      </c>
      <c r="K19" s="3" t="s">
        <v>10</v>
      </c>
      <c r="L19" s="14"/>
      <c r="M19" s="3" t="s">
        <v>20</v>
      </c>
      <c r="N19" s="3" t="s">
        <v>20</v>
      </c>
      <c r="O19" s="14"/>
      <c r="P19" s="14"/>
      <c r="Q19" s="14"/>
      <c r="R19" s="14"/>
      <c r="S19" s="14"/>
      <c r="T19" s="15"/>
      <c r="U19" s="15"/>
      <c r="V19" s="15"/>
      <c r="W19" s="15"/>
      <c r="X19" s="15"/>
      <c r="Y19" s="15"/>
      <c r="Z19" s="15"/>
      <c r="AA19" s="15"/>
      <c r="AB19" s="15"/>
      <c r="AC19" s="15"/>
      <c r="AD19" s="15"/>
      <c r="AE19" s="15"/>
      <c r="AF19" s="15"/>
      <c r="AG19" s="15"/>
    </row>
    <row r="20" ht="15.75" customHeight="1">
      <c r="A20" s="3" t="s">
        <v>140</v>
      </c>
      <c r="B20" s="3" t="s">
        <v>141</v>
      </c>
      <c r="C20" s="3" t="s">
        <v>142</v>
      </c>
      <c r="D20" s="3" t="s">
        <v>143</v>
      </c>
      <c r="E20" s="26" t="s">
        <v>130</v>
      </c>
      <c r="F20" s="27"/>
      <c r="G20" s="3" t="s">
        <v>144</v>
      </c>
      <c r="H20" s="3" t="s">
        <v>48</v>
      </c>
      <c r="I20" s="3" t="s">
        <v>145</v>
      </c>
      <c r="J20" s="3" t="s">
        <v>146</v>
      </c>
      <c r="K20" s="3" t="s">
        <v>10</v>
      </c>
      <c r="L20" s="14"/>
      <c r="M20" s="3" t="s">
        <v>12</v>
      </c>
      <c r="N20" s="3" t="s">
        <v>12</v>
      </c>
      <c r="O20" s="14"/>
      <c r="P20" s="14"/>
      <c r="Q20" s="14"/>
      <c r="R20" s="14"/>
      <c r="S20" s="14"/>
      <c r="T20" s="15"/>
      <c r="U20" s="15"/>
      <c r="V20" s="15"/>
      <c r="W20" s="15"/>
      <c r="X20" s="15"/>
      <c r="Y20" s="15"/>
      <c r="Z20" s="15"/>
      <c r="AA20" s="15"/>
      <c r="AB20" s="15"/>
      <c r="AC20" s="15"/>
      <c r="AD20" s="15"/>
      <c r="AE20" s="15"/>
      <c r="AF20" s="15"/>
      <c r="AG20" s="15"/>
    </row>
    <row r="21" ht="15.75" customHeight="1">
      <c r="A21" s="3" t="s">
        <v>147</v>
      </c>
      <c r="B21" s="3" t="s">
        <v>148</v>
      </c>
      <c r="C21" s="3" t="s">
        <v>149</v>
      </c>
      <c r="D21" s="3" t="s">
        <v>150</v>
      </c>
      <c r="E21" s="26" t="s">
        <v>151</v>
      </c>
      <c r="F21" s="27"/>
      <c r="G21" s="3" t="s">
        <v>152</v>
      </c>
      <c r="H21" s="3" t="s">
        <v>48</v>
      </c>
      <c r="I21" s="3" t="s">
        <v>153</v>
      </c>
      <c r="J21" s="3" t="s">
        <v>154</v>
      </c>
      <c r="K21" s="3" t="s">
        <v>10</v>
      </c>
      <c r="L21" s="14"/>
      <c r="M21" s="3" t="s">
        <v>11</v>
      </c>
      <c r="N21" s="3" t="s">
        <v>12</v>
      </c>
      <c r="O21" s="14"/>
      <c r="P21" s="14"/>
      <c r="Q21" s="14"/>
      <c r="R21" s="14"/>
      <c r="S21" s="14"/>
      <c r="T21" s="15"/>
      <c r="U21" s="15"/>
      <c r="V21" s="15"/>
      <c r="W21" s="15"/>
      <c r="X21" s="15"/>
      <c r="Y21" s="15"/>
      <c r="Z21" s="15"/>
      <c r="AA21" s="15"/>
      <c r="AB21" s="15"/>
      <c r="AC21" s="15"/>
      <c r="AD21" s="15"/>
      <c r="AE21" s="15"/>
      <c r="AF21" s="15"/>
      <c r="AG21" s="15"/>
    </row>
    <row r="22" ht="15.75" customHeight="1">
      <c r="A22" s="3" t="s">
        <v>155</v>
      </c>
      <c r="B22" s="3" t="s">
        <v>156</v>
      </c>
      <c r="C22" s="3" t="s">
        <v>157</v>
      </c>
      <c r="D22" s="3" t="s">
        <v>158</v>
      </c>
      <c r="E22" s="26" t="s">
        <v>151</v>
      </c>
      <c r="F22" s="27"/>
      <c r="G22" s="3" t="s">
        <v>159</v>
      </c>
      <c r="H22" s="3" t="s">
        <v>48</v>
      </c>
      <c r="I22" s="3" t="s">
        <v>160</v>
      </c>
      <c r="J22" s="3" t="s">
        <v>161</v>
      </c>
      <c r="K22" s="3" t="s">
        <v>10</v>
      </c>
      <c r="L22" s="14"/>
      <c r="M22" s="3" t="s">
        <v>12</v>
      </c>
      <c r="N22" s="3" t="s">
        <v>12</v>
      </c>
      <c r="O22" s="14"/>
      <c r="P22" s="14"/>
      <c r="Q22" s="14"/>
      <c r="R22" s="14"/>
      <c r="S22" s="14"/>
      <c r="T22" s="15"/>
      <c r="U22" s="15"/>
      <c r="V22" s="15"/>
      <c r="W22" s="15"/>
      <c r="X22" s="15"/>
      <c r="Y22" s="15"/>
      <c r="Z22" s="15"/>
      <c r="AA22" s="15"/>
      <c r="AB22" s="15"/>
      <c r="AC22" s="15"/>
      <c r="AD22" s="15"/>
      <c r="AE22" s="15"/>
      <c r="AF22" s="15"/>
      <c r="AG22" s="15"/>
    </row>
    <row r="23" ht="15.75" customHeight="1">
      <c r="A23" s="3" t="s">
        <v>162</v>
      </c>
      <c r="B23" s="3" t="s">
        <v>163</v>
      </c>
      <c r="C23" s="3" t="s">
        <v>164</v>
      </c>
      <c r="D23" s="3" t="s">
        <v>165</v>
      </c>
      <c r="E23" s="26" t="s">
        <v>166</v>
      </c>
      <c r="F23" s="27"/>
      <c r="G23" s="3" t="s">
        <v>167</v>
      </c>
      <c r="H23" s="3" t="s">
        <v>48</v>
      </c>
      <c r="I23" s="3" t="s">
        <v>168</v>
      </c>
      <c r="J23" s="3" t="s">
        <v>169</v>
      </c>
      <c r="K23" s="3" t="s">
        <v>10</v>
      </c>
      <c r="L23" s="14"/>
      <c r="M23" s="3" t="s">
        <v>12</v>
      </c>
      <c r="N23" s="3" t="s">
        <v>12</v>
      </c>
      <c r="O23" s="14"/>
      <c r="P23" s="14"/>
      <c r="Q23" s="14"/>
      <c r="R23" s="14"/>
      <c r="S23" s="14"/>
      <c r="T23" s="15"/>
      <c r="U23" s="15"/>
      <c r="V23" s="15"/>
      <c r="W23" s="15"/>
      <c r="X23" s="15"/>
      <c r="Y23" s="15"/>
      <c r="Z23" s="15"/>
      <c r="AA23" s="15"/>
      <c r="AB23" s="15"/>
      <c r="AC23" s="15"/>
      <c r="AD23" s="15"/>
      <c r="AE23" s="15"/>
      <c r="AF23" s="15"/>
      <c r="AG23" s="15"/>
    </row>
    <row r="24" ht="15.75" customHeight="1">
      <c r="A24" s="3" t="s">
        <v>170</v>
      </c>
      <c r="B24" s="3" t="s">
        <v>171</v>
      </c>
      <c r="C24" s="3" t="s">
        <v>172</v>
      </c>
      <c r="D24" s="3" t="s">
        <v>173</v>
      </c>
      <c r="E24" s="26" t="s">
        <v>166</v>
      </c>
      <c r="F24" s="27"/>
      <c r="G24" s="3" t="s">
        <v>174</v>
      </c>
      <c r="H24" s="3" t="s">
        <v>48</v>
      </c>
      <c r="I24" s="3" t="s">
        <v>175</v>
      </c>
      <c r="J24" s="3" t="s">
        <v>176</v>
      </c>
      <c r="K24" s="3" t="s">
        <v>15</v>
      </c>
      <c r="L24" s="14"/>
      <c r="M24" s="3" t="s">
        <v>16</v>
      </c>
      <c r="N24" s="3" t="s">
        <v>16</v>
      </c>
      <c r="O24" s="14"/>
      <c r="P24" s="14"/>
      <c r="Q24" s="14"/>
      <c r="R24" s="14"/>
      <c r="S24" s="14"/>
      <c r="T24" s="15"/>
      <c r="U24" s="15"/>
      <c r="V24" s="15"/>
      <c r="W24" s="15"/>
      <c r="X24" s="15"/>
      <c r="Y24" s="15"/>
      <c r="Z24" s="15"/>
      <c r="AA24" s="15"/>
      <c r="AB24" s="15"/>
      <c r="AC24" s="15"/>
      <c r="AD24" s="15"/>
      <c r="AE24" s="15"/>
      <c r="AF24" s="15"/>
      <c r="AG24" s="15"/>
    </row>
    <row r="25" ht="15.75" customHeight="1">
      <c r="A25" s="3" t="s">
        <v>177</v>
      </c>
      <c r="B25" s="3" t="s">
        <v>178</v>
      </c>
      <c r="C25" s="3" t="s">
        <v>179</v>
      </c>
      <c r="D25" s="3" t="s">
        <v>180</v>
      </c>
      <c r="E25" s="26" t="s">
        <v>166</v>
      </c>
      <c r="F25" s="27"/>
      <c r="G25" s="3" t="s">
        <v>181</v>
      </c>
      <c r="H25" s="3" t="s">
        <v>182</v>
      </c>
      <c r="I25" s="3" t="s">
        <v>183</v>
      </c>
      <c r="J25" s="3" t="s">
        <v>74</v>
      </c>
      <c r="K25" s="3" t="s">
        <v>10</v>
      </c>
      <c r="L25" s="14"/>
      <c r="M25" s="3" t="s">
        <v>12</v>
      </c>
      <c r="N25" s="3" t="s">
        <v>12</v>
      </c>
      <c r="O25" s="14"/>
      <c r="P25" s="14"/>
      <c r="Q25" s="14"/>
      <c r="R25" s="14"/>
      <c r="S25" s="14"/>
      <c r="T25" s="15"/>
      <c r="U25" s="15"/>
      <c r="V25" s="15"/>
      <c r="W25" s="15"/>
      <c r="X25" s="15"/>
      <c r="Y25" s="15"/>
      <c r="Z25" s="15"/>
      <c r="AA25" s="15"/>
      <c r="AB25" s="15"/>
      <c r="AC25" s="15"/>
      <c r="AD25" s="15"/>
      <c r="AE25" s="15"/>
      <c r="AF25" s="15"/>
      <c r="AG25" s="15"/>
    </row>
    <row r="26" ht="15.75" customHeight="1">
      <c r="A26" s="3" t="s">
        <v>184</v>
      </c>
      <c r="B26" s="3" t="s">
        <v>185</v>
      </c>
      <c r="C26" s="3" t="s">
        <v>186</v>
      </c>
      <c r="D26" s="3" t="s">
        <v>187</v>
      </c>
      <c r="E26" s="26" t="s">
        <v>46</v>
      </c>
      <c r="F26" s="27"/>
      <c r="G26" s="3" t="s">
        <v>188</v>
      </c>
      <c r="H26" s="3" t="s">
        <v>189</v>
      </c>
      <c r="I26" s="3" t="s">
        <v>190</v>
      </c>
      <c r="J26" s="3" t="s">
        <v>191</v>
      </c>
      <c r="K26" s="3" t="s">
        <v>10</v>
      </c>
      <c r="L26" s="14"/>
      <c r="M26" s="3" t="s">
        <v>12</v>
      </c>
      <c r="N26" s="3" t="s">
        <v>12</v>
      </c>
      <c r="O26" s="14"/>
      <c r="P26" s="14"/>
      <c r="Q26" s="14"/>
      <c r="R26" s="14"/>
      <c r="S26" s="14"/>
      <c r="T26" s="15"/>
      <c r="U26" s="15"/>
      <c r="V26" s="15"/>
      <c r="W26" s="15"/>
      <c r="X26" s="15"/>
      <c r="Y26" s="15"/>
      <c r="Z26" s="15"/>
      <c r="AA26" s="15"/>
      <c r="AB26" s="15"/>
      <c r="AC26" s="15"/>
      <c r="AD26" s="15"/>
      <c r="AE26" s="15"/>
      <c r="AF26" s="15"/>
      <c r="AG26" s="15"/>
    </row>
    <row r="27" ht="15.75" customHeight="1">
      <c r="A27" s="3" t="s">
        <v>192</v>
      </c>
      <c r="B27" s="3" t="s">
        <v>193</v>
      </c>
      <c r="C27" s="3" t="s">
        <v>194</v>
      </c>
      <c r="D27" s="3" t="s">
        <v>195</v>
      </c>
      <c r="E27" s="26" t="s">
        <v>196</v>
      </c>
      <c r="F27" s="27"/>
      <c r="G27" s="3" t="s">
        <v>197</v>
      </c>
      <c r="H27" s="3" t="s">
        <v>198</v>
      </c>
      <c r="I27" s="3" t="s">
        <v>199</v>
      </c>
      <c r="J27" s="3" t="s">
        <v>200</v>
      </c>
      <c r="K27" s="3" t="s">
        <v>10</v>
      </c>
      <c r="L27" s="14"/>
      <c r="M27" s="3" t="s">
        <v>16</v>
      </c>
      <c r="N27" s="3" t="s">
        <v>12</v>
      </c>
      <c r="O27" s="14"/>
      <c r="P27" s="14"/>
      <c r="Q27" s="14"/>
      <c r="R27" s="14"/>
      <c r="S27" s="14"/>
      <c r="T27" s="15"/>
      <c r="U27" s="15"/>
      <c r="V27" s="15"/>
      <c r="W27" s="15"/>
      <c r="X27" s="15"/>
      <c r="Y27" s="15"/>
      <c r="Z27" s="15"/>
      <c r="AA27" s="15"/>
      <c r="AB27" s="15"/>
      <c r="AC27" s="15"/>
      <c r="AD27" s="15"/>
      <c r="AE27" s="15"/>
      <c r="AF27" s="15"/>
      <c r="AG27" s="15"/>
    </row>
    <row r="28" ht="15.75" customHeight="1">
      <c r="A28" s="3" t="s">
        <v>201</v>
      </c>
      <c r="B28" s="3" t="s">
        <v>202</v>
      </c>
      <c r="C28" s="3" t="s">
        <v>203</v>
      </c>
      <c r="D28" s="3" t="s">
        <v>204</v>
      </c>
      <c r="E28" s="26" t="s">
        <v>130</v>
      </c>
      <c r="F28" s="27"/>
      <c r="G28" s="3" t="s">
        <v>205</v>
      </c>
      <c r="H28" s="3" t="s">
        <v>48</v>
      </c>
      <c r="I28" s="3" t="s">
        <v>206</v>
      </c>
      <c r="J28" s="3" t="s">
        <v>74</v>
      </c>
      <c r="K28" s="3" t="s">
        <v>10</v>
      </c>
      <c r="L28" s="14"/>
      <c r="M28" s="3" t="s">
        <v>16</v>
      </c>
      <c r="N28" s="3" t="s">
        <v>16</v>
      </c>
      <c r="O28" s="14"/>
      <c r="P28" s="14"/>
      <c r="Q28" s="14"/>
      <c r="R28" s="14"/>
      <c r="S28" s="14"/>
      <c r="T28" s="15"/>
      <c r="U28" s="15"/>
      <c r="V28" s="15"/>
      <c r="W28" s="15"/>
      <c r="X28" s="15"/>
      <c r="Y28" s="15"/>
      <c r="Z28" s="15"/>
      <c r="AA28" s="15"/>
      <c r="AB28" s="15"/>
      <c r="AC28" s="15"/>
      <c r="AD28" s="15"/>
      <c r="AE28" s="15"/>
      <c r="AF28" s="15"/>
      <c r="AG28" s="15"/>
    </row>
    <row r="29" ht="15.75" customHeight="1">
      <c r="A29" s="3" t="s">
        <v>207</v>
      </c>
      <c r="B29" s="3" t="s">
        <v>208</v>
      </c>
      <c r="C29" s="3" t="s">
        <v>209</v>
      </c>
      <c r="D29" s="3" t="s">
        <v>210</v>
      </c>
      <c r="E29" s="26" t="s">
        <v>46</v>
      </c>
      <c r="F29" s="27"/>
      <c r="G29" s="3" t="s">
        <v>211</v>
      </c>
      <c r="H29" s="3" t="s">
        <v>48</v>
      </c>
      <c r="I29" s="3" t="s">
        <v>212</v>
      </c>
      <c r="J29" s="3" t="s">
        <v>74</v>
      </c>
      <c r="K29" s="3" t="s">
        <v>10</v>
      </c>
      <c r="L29" s="14"/>
      <c r="M29" s="3" t="s">
        <v>16</v>
      </c>
      <c r="N29" s="3" t="s">
        <v>12</v>
      </c>
      <c r="O29" s="14"/>
      <c r="P29" s="14"/>
      <c r="Q29" s="14"/>
      <c r="R29" s="14"/>
      <c r="S29" s="14"/>
      <c r="T29" s="15"/>
      <c r="U29" s="15"/>
      <c r="V29" s="15"/>
      <c r="W29" s="15"/>
      <c r="X29" s="15"/>
      <c r="Y29" s="15"/>
      <c r="Z29" s="15"/>
      <c r="AA29" s="15"/>
      <c r="AB29" s="15"/>
      <c r="AC29" s="15"/>
      <c r="AD29" s="15"/>
      <c r="AE29" s="15"/>
      <c r="AF29" s="15"/>
      <c r="AG29" s="15"/>
    </row>
    <row r="30" ht="15.75" customHeight="1">
      <c r="A30" s="3" t="s">
        <v>213</v>
      </c>
      <c r="B30" s="3" t="s">
        <v>214</v>
      </c>
      <c r="C30" s="3" t="s">
        <v>215</v>
      </c>
      <c r="D30" s="3" t="s">
        <v>216</v>
      </c>
      <c r="E30" s="26" t="s">
        <v>46</v>
      </c>
      <c r="F30" s="27"/>
      <c r="G30" s="3" t="s">
        <v>217</v>
      </c>
      <c r="H30" s="3" t="s">
        <v>48</v>
      </c>
      <c r="I30" s="3" t="s">
        <v>218</v>
      </c>
      <c r="J30" s="3" t="s">
        <v>219</v>
      </c>
      <c r="K30" s="3" t="s">
        <v>10</v>
      </c>
      <c r="L30" s="14"/>
      <c r="M30" s="3" t="s">
        <v>12</v>
      </c>
      <c r="N30" s="3" t="s">
        <v>12</v>
      </c>
      <c r="O30" s="14"/>
      <c r="P30" s="14"/>
      <c r="Q30" s="14"/>
      <c r="R30" s="14"/>
      <c r="S30" s="14"/>
      <c r="T30" s="15"/>
      <c r="U30" s="15"/>
      <c r="V30" s="15"/>
      <c r="W30" s="15"/>
      <c r="X30" s="15"/>
      <c r="Y30" s="15"/>
      <c r="Z30" s="15"/>
      <c r="AA30" s="15"/>
      <c r="AB30" s="15"/>
      <c r="AC30" s="15"/>
      <c r="AD30" s="15"/>
      <c r="AE30" s="15"/>
      <c r="AF30" s="15"/>
      <c r="AG30" s="15"/>
    </row>
    <row r="31" ht="15.75" customHeight="1">
      <c r="A31" s="3" t="s">
        <v>220</v>
      </c>
      <c r="B31" s="3" t="s">
        <v>221</v>
      </c>
      <c r="C31" s="3" t="s">
        <v>222</v>
      </c>
      <c r="D31" s="3" t="s">
        <v>223</v>
      </c>
      <c r="E31" s="26" t="s">
        <v>46</v>
      </c>
      <c r="F31" s="27"/>
      <c r="G31" s="3" t="s">
        <v>224</v>
      </c>
      <c r="H31" s="3" t="s">
        <v>225</v>
      </c>
      <c r="I31" s="3" t="s">
        <v>226</v>
      </c>
      <c r="J31" s="3" t="s">
        <v>227</v>
      </c>
      <c r="K31" s="3" t="s">
        <v>10</v>
      </c>
      <c r="L31" s="14"/>
      <c r="M31" s="3" t="s">
        <v>12</v>
      </c>
      <c r="N31" s="3" t="s">
        <v>12</v>
      </c>
      <c r="O31" s="14"/>
      <c r="P31" s="14"/>
      <c r="Q31" s="14"/>
      <c r="R31" s="14"/>
      <c r="S31" s="14"/>
      <c r="T31" s="15"/>
      <c r="U31" s="15"/>
      <c r="V31" s="15"/>
      <c r="W31" s="15"/>
      <c r="X31" s="15"/>
      <c r="Y31" s="15"/>
      <c r="Z31" s="15"/>
      <c r="AA31" s="15"/>
      <c r="AB31" s="15"/>
      <c r="AC31" s="15"/>
      <c r="AD31" s="15"/>
      <c r="AE31" s="15"/>
      <c r="AF31" s="15"/>
      <c r="AG31" s="15"/>
    </row>
    <row r="32" ht="15.75" customHeight="1">
      <c r="A32" s="3" t="s">
        <v>228</v>
      </c>
      <c r="B32" s="3" t="s">
        <v>229</v>
      </c>
      <c r="C32" s="3" t="s">
        <v>230</v>
      </c>
      <c r="D32" s="3" t="s">
        <v>231</v>
      </c>
      <c r="E32" s="26" t="s">
        <v>46</v>
      </c>
      <c r="F32" s="27"/>
      <c r="G32" s="3" t="s">
        <v>232</v>
      </c>
      <c r="H32" s="3" t="s">
        <v>48</v>
      </c>
      <c r="I32" s="3" t="s">
        <v>233</v>
      </c>
      <c r="J32" s="3" t="s">
        <v>74</v>
      </c>
      <c r="K32" s="3" t="s">
        <v>10</v>
      </c>
      <c r="L32" s="14"/>
      <c r="M32" s="3" t="s">
        <v>12</v>
      </c>
      <c r="N32" s="3" t="s">
        <v>12</v>
      </c>
      <c r="O32" s="14"/>
      <c r="P32" s="14"/>
      <c r="Q32" s="14"/>
      <c r="R32" s="14"/>
      <c r="S32" s="14"/>
      <c r="T32" s="15"/>
      <c r="U32" s="15"/>
      <c r="V32" s="15"/>
      <c r="W32" s="15"/>
      <c r="X32" s="15"/>
      <c r="Y32" s="15"/>
      <c r="Z32" s="15"/>
      <c r="AA32" s="15"/>
      <c r="AB32" s="15"/>
      <c r="AC32" s="15"/>
      <c r="AD32" s="15"/>
      <c r="AE32" s="15"/>
      <c r="AF32" s="15"/>
      <c r="AG32" s="15"/>
    </row>
    <row r="33" ht="15.75" customHeight="1">
      <c r="A33" s="3" t="s">
        <v>234</v>
      </c>
      <c r="B33" s="3" t="s">
        <v>235</v>
      </c>
      <c r="C33" s="3" t="s">
        <v>236</v>
      </c>
      <c r="D33" s="3" t="s">
        <v>237</v>
      </c>
      <c r="E33" s="26" t="s">
        <v>46</v>
      </c>
      <c r="F33" s="27"/>
      <c r="G33" s="3" t="s">
        <v>238</v>
      </c>
      <c r="H33" s="3" t="s">
        <v>239</v>
      </c>
      <c r="I33" s="3" t="s">
        <v>240</v>
      </c>
      <c r="J33" s="3" t="s">
        <v>241</v>
      </c>
      <c r="K33" s="3" t="s">
        <v>10</v>
      </c>
      <c r="L33" s="14"/>
      <c r="M33" s="3" t="s">
        <v>12</v>
      </c>
      <c r="N33" s="3" t="s">
        <v>12</v>
      </c>
      <c r="O33" s="14"/>
      <c r="P33" s="14"/>
      <c r="Q33" s="14"/>
      <c r="R33" s="14"/>
      <c r="S33" s="14"/>
      <c r="T33" s="15"/>
      <c r="U33" s="15"/>
      <c r="V33" s="15"/>
      <c r="W33" s="15"/>
      <c r="X33" s="15"/>
      <c r="Y33" s="15"/>
      <c r="Z33" s="15"/>
      <c r="AA33" s="15"/>
      <c r="AB33" s="15"/>
      <c r="AC33" s="15"/>
      <c r="AD33" s="15"/>
      <c r="AE33" s="15"/>
      <c r="AF33" s="15"/>
      <c r="AG33" s="15"/>
    </row>
    <row r="34" ht="15.75" customHeight="1">
      <c r="A34" s="3" t="s">
        <v>242</v>
      </c>
      <c r="B34" s="3" t="s">
        <v>243</v>
      </c>
      <c r="C34" s="3" t="s">
        <v>244</v>
      </c>
      <c r="D34" s="3" t="s">
        <v>245</v>
      </c>
      <c r="E34" s="26" t="s">
        <v>46</v>
      </c>
      <c r="F34" s="27"/>
      <c r="G34" s="3" t="s">
        <v>246</v>
      </c>
      <c r="H34" s="3" t="s">
        <v>48</v>
      </c>
      <c r="I34" s="3" t="s">
        <v>247</v>
      </c>
      <c r="J34" s="3" t="s">
        <v>248</v>
      </c>
      <c r="K34" s="3" t="s">
        <v>10</v>
      </c>
      <c r="L34" s="14"/>
      <c r="M34" s="3" t="s">
        <v>12</v>
      </c>
      <c r="N34" s="3" t="s">
        <v>12</v>
      </c>
      <c r="O34" s="14"/>
      <c r="P34" s="14"/>
      <c r="Q34" s="14"/>
      <c r="R34" s="14"/>
      <c r="S34" s="14"/>
      <c r="T34" s="15"/>
      <c r="U34" s="15"/>
      <c r="V34" s="15"/>
      <c r="W34" s="15"/>
      <c r="X34" s="15"/>
      <c r="Y34" s="15"/>
      <c r="Z34" s="15"/>
      <c r="AA34" s="15"/>
      <c r="AB34" s="15"/>
      <c r="AC34" s="15"/>
      <c r="AD34" s="15"/>
      <c r="AE34" s="15"/>
      <c r="AF34" s="15"/>
      <c r="AG34" s="15"/>
    </row>
    <row r="35" ht="15.75" customHeight="1">
      <c r="A35" s="3" t="s">
        <v>249</v>
      </c>
      <c r="B35" s="3" t="s">
        <v>250</v>
      </c>
      <c r="C35" s="3" t="s">
        <v>251</v>
      </c>
      <c r="D35" s="3" t="s">
        <v>252</v>
      </c>
      <c r="E35" s="26" t="s">
        <v>46</v>
      </c>
      <c r="F35" s="27"/>
      <c r="G35" s="3" t="s">
        <v>253</v>
      </c>
      <c r="H35" s="3" t="s">
        <v>48</v>
      </c>
      <c r="I35" s="3" t="s">
        <v>254</v>
      </c>
      <c r="J35" s="3" t="s">
        <v>255</v>
      </c>
      <c r="K35" s="3" t="s">
        <v>10</v>
      </c>
      <c r="L35" s="14"/>
      <c r="M35" s="3" t="s">
        <v>16</v>
      </c>
      <c r="N35" s="3" t="s">
        <v>16</v>
      </c>
      <c r="O35" s="14"/>
      <c r="P35" s="14"/>
      <c r="Q35" s="14"/>
      <c r="R35" s="14"/>
      <c r="S35" s="14"/>
      <c r="T35" s="15"/>
      <c r="U35" s="15"/>
      <c r="V35" s="15"/>
      <c r="W35" s="15"/>
      <c r="X35" s="15"/>
      <c r="Y35" s="15"/>
      <c r="Z35" s="15"/>
      <c r="AA35" s="15"/>
      <c r="AB35" s="15"/>
      <c r="AC35" s="15"/>
      <c r="AD35" s="15"/>
      <c r="AE35" s="15"/>
      <c r="AF35" s="15"/>
      <c r="AG35" s="15"/>
    </row>
    <row r="36" ht="15.75" customHeight="1">
      <c r="A36" s="3" t="s">
        <v>256</v>
      </c>
      <c r="B36" s="3" t="s">
        <v>257</v>
      </c>
      <c r="C36" s="3" t="s">
        <v>258</v>
      </c>
      <c r="D36" s="3" t="s">
        <v>259</v>
      </c>
      <c r="E36" s="26" t="s">
        <v>46</v>
      </c>
      <c r="F36" s="27"/>
      <c r="G36" s="3" t="s">
        <v>260</v>
      </c>
      <c r="H36" s="3" t="s">
        <v>48</v>
      </c>
      <c r="I36" s="3" t="s">
        <v>261</v>
      </c>
      <c r="J36" s="3" t="s">
        <v>262</v>
      </c>
      <c r="K36" s="3" t="s">
        <v>10</v>
      </c>
      <c r="L36" s="14"/>
      <c r="M36" s="3" t="s">
        <v>16</v>
      </c>
      <c r="N36" s="3" t="s">
        <v>16</v>
      </c>
      <c r="O36" s="14"/>
      <c r="P36" s="14"/>
      <c r="Q36" s="14"/>
      <c r="R36" s="14"/>
      <c r="S36" s="14"/>
      <c r="T36" s="15"/>
      <c r="U36" s="15"/>
      <c r="V36" s="15"/>
      <c r="W36" s="15"/>
      <c r="X36" s="15"/>
      <c r="Y36" s="15"/>
      <c r="Z36" s="15"/>
      <c r="AA36" s="15"/>
      <c r="AB36" s="15"/>
      <c r="AC36" s="15"/>
      <c r="AD36" s="15"/>
      <c r="AE36" s="15"/>
      <c r="AF36" s="15"/>
      <c r="AG36" s="15"/>
    </row>
    <row r="37" ht="15.75" customHeight="1">
      <c r="A37" s="3" t="s">
        <v>263</v>
      </c>
      <c r="B37" s="3" t="s">
        <v>264</v>
      </c>
      <c r="C37" s="3" t="s">
        <v>265</v>
      </c>
      <c r="D37" s="3" t="s">
        <v>266</v>
      </c>
      <c r="E37" s="26" t="s">
        <v>46</v>
      </c>
      <c r="F37" s="27"/>
      <c r="G37" s="3" t="s">
        <v>267</v>
      </c>
      <c r="H37" s="3" t="s">
        <v>48</v>
      </c>
      <c r="I37" s="3" t="s">
        <v>268</v>
      </c>
      <c r="J37" s="3" t="s">
        <v>269</v>
      </c>
      <c r="K37" s="3" t="s">
        <v>10</v>
      </c>
      <c r="L37" s="14"/>
      <c r="M37" s="3" t="s">
        <v>16</v>
      </c>
      <c r="N37" s="3" t="s">
        <v>16</v>
      </c>
      <c r="O37" s="14"/>
      <c r="P37" s="14"/>
      <c r="Q37" s="14"/>
      <c r="R37" s="14"/>
      <c r="S37" s="14"/>
      <c r="T37" s="15"/>
      <c r="U37" s="15"/>
      <c r="V37" s="15"/>
      <c r="W37" s="15"/>
      <c r="X37" s="15"/>
      <c r="Y37" s="15"/>
      <c r="Z37" s="15"/>
      <c r="AA37" s="15"/>
      <c r="AB37" s="15"/>
      <c r="AC37" s="15"/>
      <c r="AD37" s="15"/>
      <c r="AE37" s="15"/>
      <c r="AF37" s="15"/>
      <c r="AG37" s="15"/>
    </row>
    <row r="38" ht="15.75" customHeight="1">
      <c r="A38" s="3" t="s">
        <v>270</v>
      </c>
      <c r="B38" s="3" t="s">
        <v>271</v>
      </c>
      <c r="C38" s="3" t="s">
        <v>272</v>
      </c>
      <c r="D38" s="3" t="s">
        <v>273</v>
      </c>
      <c r="E38" s="26" t="s">
        <v>46</v>
      </c>
      <c r="F38" s="27"/>
      <c r="G38" s="3" t="s">
        <v>274</v>
      </c>
      <c r="H38" s="3" t="s">
        <v>48</v>
      </c>
      <c r="I38" s="3" t="s">
        <v>275</v>
      </c>
      <c r="J38" s="3" t="s">
        <v>276</v>
      </c>
      <c r="K38" s="3" t="s">
        <v>10</v>
      </c>
      <c r="L38" s="14"/>
      <c r="M38" s="3" t="s">
        <v>16</v>
      </c>
      <c r="N38" s="3" t="s">
        <v>16</v>
      </c>
      <c r="O38" s="14"/>
      <c r="P38" s="14"/>
      <c r="Q38" s="14"/>
      <c r="R38" s="14"/>
      <c r="S38" s="14"/>
      <c r="T38" s="15"/>
      <c r="U38" s="15"/>
      <c r="V38" s="15"/>
      <c r="W38" s="15"/>
      <c r="X38" s="15"/>
      <c r="Y38" s="15"/>
      <c r="Z38" s="15"/>
      <c r="AA38" s="15"/>
      <c r="AB38" s="15"/>
      <c r="AC38" s="15"/>
      <c r="AD38" s="15"/>
      <c r="AE38" s="15"/>
      <c r="AF38" s="15"/>
      <c r="AG38" s="15"/>
    </row>
    <row r="39" ht="15.75" customHeight="1">
      <c r="A39" s="3" t="s">
        <v>277</v>
      </c>
      <c r="B39" s="3" t="s">
        <v>278</v>
      </c>
      <c r="C39" s="3" t="s">
        <v>279</v>
      </c>
      <c r="D39" s="3" t="s">
        <v>280</v>
      </c>
      <c r="E39" s="26" t="s">
        <v>46</v>
      </c>
      <c r="F39" s="27"/>
      <c r="G39" s="3" t="s">
        <v>281</v>
      </c>
      <c r="H39" s="3" t="s">
        <v>48</v>
      </c>
      <c r="I39" s="3" t="s">
        <v>282</v>
      </c>
      <c r="J39" s="3" t="s">
        <v>283</v>
      </c>
      <c r="K39" s="3" t="s">
        <v>10</v>
      </c>
      <c r="L39" s="14"/>
      <c r="M39" s="3" t="s">
        <v>12</v>
      </c>
      <c r="N39" s="3" t="s">
        <v>12</v>
      </c>
      <c r="O39" s="14"/>
      <c r="P39" s="14"/>
      <c r="Q39" s="14"/>
      <c r="R39" s="14"/>
      <c r="S39" s="14"/>
      <c r="T39" s="15"/>
      <c r="U39" s="15"/>
      <c r="V39" s="15"/>
      <c r="W39" s="15"/>
      <c r="X39" s="15"/>
      <c r="Y39" s="15"/>
      <c r="Z39" s="15"/>
      <c r="AA39" s="15"/>
      <c r="AB39" s="15"/>
      <c r="AC39" s="15"/>
      <c r="AD39" s="15"/>
      <c r="AE39" s="15"/>
      <c r="AF39" s="15"/>
      <c r="AG39" s="15"/>
    </row>
    <row r="40" ht="15.75" customHeight="1">
      <c r="A40" s="3" t="s">
        <v>284</v>
      </c>
      <c r="B40" s="3" t="s">
        <v>285</v>
      </c>
      <c r="C40" s="3" t="s">
        <v>286</v>
      </c>
      <c r="D40" s="3" t="s">
        <v>287</v>
      </c>
      <c r="E40" s="26" t="s">
        <v>46</v>
      </c>
      <c r="F40" s="27"/>
      <c r="G40" s="3" t="s">
        <v>288</v>
      </c>
      <c r="H40" s="3" t="s">
        <v>48</v>
      </c>
      <c r="I40" s="3" t="s">
        <v>289</v>
      </c>
      <c r="J40" s="3" t="s">
        <v>290</v>
      </c>
      <c r="K40" s="3" t="s">
        <v>10</v>
      </c>
      <c r="L40" s="14"/>
      <c r="M40" s="3" t="s">
        <v>12</v>
      </c>
      <c r="N40" s="3" t="s">
        <v>12</v>
      </c>
      <c r="O40" s="14"/>
      <c r="P40" s="14"/>
      <c r="Q40" s="14"/>
      <c r="R40" s="14"/>
      <c r="S40" s="14"/>
      <c r="T40" s="15"/>
      <c r="U40" s="15"/>
      <c r="V40" s="15"/>
      <c r="W40" s="15"/>
      <c r="X40" s="15"/>
      <c r="Y40" s="15"/>
      <c r="Z40" s="15"/>
      <c r="AA40" s="15"/>
      <c r="AB40" s="15"/>
      <c r="AC40" s="15"/>
      <c r="AD40" s="15"/>
      <c r="AE40" s="15"/>
      <c r="AF40" s="15"/>
      <c r="AG40" s="15"/>
    </row>
    <row r="41" ht="15.75" customHeight="1">
      <c r="A41" s="3" t="s">
        <v>291</v>
      </c>
      <c r="B41" s="3" t="s">
        <v>292</v>
      </c>
      <c r="C41" s="3" t="s">
        <v>293</v>
      </c>
      <c r="D41" s="3" t="s">
        <v>294</v>
      </c>
      <c r="E41" s="26" t="s">
        <v>46</v>
      </c>
      <c r="F41" s="27"/>
      <c r="G41" s="3" t="s">
        <v>295</v>
      </c>
      <c r="H41" s="3" t="s">
        <v>296</v>
      </c>
      <c r="I41" s="3" t="s">
        <v>297</v>
      </c>
      <c r="J41" s="3" t="s">
        <v>298</v>
      </c>
      <c r="K41" s="3" t="s">
        <v>15</v>
      </c>
      <c r="L41" s="14"/>
      <c r="M41" s="3" t="s">
        <v>12</v>
      </c>
      <c r="N41" s="3" t="s">
        <v>12</v>
      </c>
      <c r="O41" s="3" t="s">
        <v>299</v>
      </c>
      <c r="P41" s="14"/>
      <c r="Q41" s="14"/>
      <c r="R41" s="14"/>
      <c r="S41" s="14"/>
      <c r="T41" s="15"/>
      <c r="U41" s="15"/>
      <c r="V41" s="15"/>
      <c r="W41" s="15"/>
      <c r="X41" s="15"/>
      <c r="Y41" s="15"/>
      <c r="Z41" s="15"/>
      <c r="AA41" s="15"/>
      <c r="AB41" s="15"/>
      <c r="AC41" s="15"/>
      <c r="AD41" s="15"/>
      <c r="AE41" s="15"/>
      <c r="AF41" s="15"/>
      <c r="AG41" s="15"/>
    </row>
    <row r="42" ht="15.75" customHeight="1">
      <c r="A42" s="3" t="s">
        <v>300</v>
      </c>
      <c r="B42" s="3" t="s">
        <v>301</v>
      </c>
      <c r="C42" s="3" t="s">
        <v>302</v>
      </c>
      <c r="D42" s="3" t="s">
        <v>303</v>
      </c>
      <c r="E42" s="26" t="s">
        <v>46</v>
      </c>
      <c r="F42" s="28"/>
      <c r="G42" s="3" t="s">
        <v>304</v>
      </c>
      <c r="H42" s="3" t="s">
        <v>48</v>
      </c>
      <c r="I42" s="3" t="s">
        <v>305</v>
      </c>
      <c r="J42" s="3" t="s">
        <v>306</v>
      </c>
      <c r="K42" s="3" t="s">
        <v>10</v>
      </c>
      <c r="L42" s="14"/>
      <c r="M42" s="3" t="s">
        <v>12</v>
      </c>
      <c r="N42" s="3" t="s">
        <v>12</v>
      </c>
      <c r="O42" s="14"/>
      <c r="P42" s="14"/>
      <c r="Q42" s="14"/>
      <c r="R42" s="14"/>
      <c r="S42" s="14"/>
      <c r="T42" s="15"/>
      <c r="U42" s="15"/>
      <c r="V42" s="15"/>
      <c r="W42" s="15"/>
      <c r="X42" s="15"/>
      <c r="Y42" s="15"/>
      <c r="Z42" s="15"/>
      <c r="AA42" s="15"/>
      <c r="AB42" s="15"/>
      <c r="AC42" s="15"/>
      <c r="AD42" s="15"/>
      <c r="AE42" s="15"/>
      <c r="AF42" s="15"/>
      <c r="AG42" s="15"/>
    </row>
    <row r="43" ht="15.75" customHeight="1">
      <c r="A43" s="3" t="s">
        <v>307</v>
      </c>
      <c r="B43" s="3" t="s">
        <v>308</v>
      </c>
      <c r="C43" s="3" t="s">
        <v>309</v>
      </c>
      <c r="D43" s="3" t="s">
        <v>310</v>
      </c>
      <c r="E43" s="26" t="s">
        <v>46</v>
      </c>
      <c r="F43" s="27"/>
      <c r="G43" s="3" t="s">
        <v>311</v>
      </c>
      <c r="H43" s="3" t="s">
        <v>312</v>
      </c>
      <c r="I43" s="3" t="s">
        <v>313</v>
      </c>
      <c r="J43" s="3" t="s">
        <v>314</v>
      </c>
      <c r="K43" s="3" t="s">
        <v>10</v>
      </c>
      <c r="L43" s="14"/>
      <c r="M43" s="3" t="s">
        <v>11</v>
      </c>
      <c r="N43" s="3" t="s">
        <v>12</v>
      </c>
      <c r="O43" s="14"/>
      <c r="P43" s="14"/>
      <c r="Q43" s="14"/>
      <c r="R43" s="14"/>
      <c r="S43" s="14"/>
      <c r="T43" s="15"/>
      <c r="U43" s="15"/>
      <c r="V43" s="15"/>
      <c r="W43" s="15"/>
      <c r="X43" s="15"/>
      <c r="Y43" s="15"/>
      <c r="Z43" s="15"/>
      <c r="AA43" s="15"/>
      <c r="AB43" s="15"/>
      <c r="AC43" s="15"/>
      <c r="AD43" s="15"/>
      <c r="AE43" s="15"/>
      <c r="AF43" s="15"/>
      <c r="AG43" s="15"/>
    </row>
    <row r="44" ht="15.75" customHeight="1">
      <c r="A44" s="3" t="s">
        <v>315</v>
      </c>
      <c r="B44" s="3" t="s">
        <v>316</v>
      </c>
      <c r="C44" s="3" t="s">
        <v>317</v>
      </c>
      <c r="D44" s="3" t="s">
        <v>318</v>
      </c>
      <c r="E44" s="26" t="s">
        <v>151</v>
      </c>
      <c r="F44" s="27"/>
      <c r="G44" s="3" t="s">
        <v>319</v>
      </c>
      <c r="H44" s="3" t="s">
        <v>48</v>
      </c>
      <c r="I44" s="3" t="s">
        <v>320</v>
      </c>
      <c r="J44" s="3" t="s">
        <v>321</v>
      </c>
      <c r="K44" s="3" t="s">
        <v>10</v>
      </c>
      <c r="L44" s="14"/>
      <c r="M44" s="3" t="s">
        <v>12</v>
      </c>
      <c r="N44" s="3" t="s">
        <v>12</v>
      </c>
      <c r="O44" s="14"/>
      <c r="P44" s="14"/>
      <c r="Q44" s="14"/>
      <c r="R44" s="14"/>
      <c r="S44" s="14"/>
      <c r="T44" s="15"/>
      <c r="U44" s="15"/>
      <c r="V44" s="15"/>
      <c r="W44" s="15"/>
      <c r="X44" s="15"/>
      <c r="Y44" s="15"/>
      <c r="Z44" s="15"/>
      <c r="AA44" s="15"/>
      <c r="AB44" s="15"/>
      <c r="AC44" s="15"/>
      <c r="AD44" s="15"/>
      <c r="AE44" s="15"/>
      <c r="AF44" s="15"/>
      <c r="AG44" s="15"/>
    </row>
    <row r="45" ht="15.75" customHeight="1">
      <c r="A45" s="3" t="s">
        <v>322</v>
      </c>
      <c r="B45" s="3" t="s">
        <v>323</v>
      </c>
      <c r="C45" s="3" t="s">
        <v>324</v>
      </c>
      <c r="D45" s="3" t="s">
        <v>325</v>
      </c>
      <c r="E45" s="26" t="s">
        <v>151</v>
      </c>
      <c r="F45" s="27"/>
      <c r="G45" s="3" t="s">
        <v>326</v>
      </c>
      <c r="H45" s="3" t="s">
        <v>327</v>
      </c>
      <c r="I45" s="3" t="s">
        <v>328</v>
      </c>
      <c r="J45" s="3" t="s">
        <v>329</v>
      </c>
      <c r="K45" s="3" t="s">
        <v>10</v>
      </c>
      <c r="L45" s="14"/>
      <c r="M45" s="3" t="s">
        <v>12</v>
      </c>
      <c r="N45" s="3" t="s">
        <v>12</v>
      </c>
      <c r="O45" s="14"/>
      <c r="P45" s="14"/>
      <c r="Q45" s="14"/>
      <c r="R45" s="14"/>
      <c r="S45" s="14"/>
      <c r="T45" s="15"/>
      <c r="U45" s="15"/>
      <c r="V45" s="15"/>
      <c r="W45" s="15"/>
      <c r="X45" s="15"/>
      <c r="Y45" s="15"/>
      <c r="Z45" s="15"/>
      <c r="AA45" s="15"/>
      <c r="AB45" s="15"/>
      <c r="AC45" s="15"/>
      <c r="AD45" s="15"/>
      <c r="AE45" s="15"/>
      <c r="AF45" s="15"/>
      <c r="AG45" s="15"/>
    </row>
    <row r="46" ht="15.75" customHeight="1">
      <c r="A46" s="3" t="s">
        <v>330</v>
      </c>
      <c r="B46" s="3" t="s">
        <v>331</v>
      </c>
      <c r="C46" s="3" t="s">
        <v>332</v>
      </c>
      <c r="D46" s="3" t="s">
        <v>333</v>
      </c>
      <c r="E46" s="26" t="s">
        <v>46</v>
      </c>
      <c r="F46" s="27"/>
      <c r="G46" s="3" t="s">
        <v>334</v>
      </c>
      <c r="H46" s="3" t="s">
        <v>335</v>
      </c>
      <c r="I46" s="3" t="s">
        <v>336</v>
      </c>
      <c r="J46" s="3" t="s">
        <v>337</v>
      </c>
      <c r="K46" s="3" t="s">
        <v>10</v>
      </c>
      <c r="L46" s="14"/>
      <c r="M46" s="3" t="s">
        <v>12</v>
      </c>
      <c r="N46" s="3" t="s">
        <v>12</v>
      </c>
      <c r="O46" s="14"/>
      <c r="P46" s="14"/>
      <c r="Q46" s="14"/>
      <c r="R46" s="14"/>
      <c r="S46" s="14"/>
      <c r="T46" s="15"/>
      <c r="U46" s="15"/>
      <c r="V46" s="15"/>
      <c r="W46" s="15"/>
      <c r="X46" s="15"/>
      <c r="Y46" s="15"/>
      <c r="Z46" s="15"/>
      <c r="AA46" s="15"/>
      <c r="AB46" s="15"/>
      <c r="AC46" s="15"/>
      <c r="AD46" s="15"/>
      <c r="AE46" s="15"/>
      <c r="AF46" s="15"/>
      <c r="AG46" s="15"/>
    </row>
    <row r="47" ht="15.75" customHeight="1">
      <c r="A47" s="3" t="s">
        <v>338</v>
      </c>
      <c r="B47" s="3" t="s">
        <v>339</v>
      </c>
      <c r="C47" s="3" t="s">
        <v>340</v>
      </c>
      <c r="D47" s="3" t="s">
        <v>341</v>
      </c>
      <c r="E47" s="26" t="s">
        <v>46</v>
      </c>
      <c r="F47" s="27"/>
      <c r="G47" s="3" t="s">
        <v>342</v>
      </c>
      <c r="H47" s="3" t="s">
        <v>343</v>
      </c>
      <c r="I47" s="3" t="s">
        <v>344</v>
      </c>
      <c r="J47" s="3" t="s">
        <v>345</v>
      </c>
      <c r="K47" s="3" t="s">
        <v>10</v>
      </c>
      <c r="L47" s="14"/>
      <c r="M47" s="3" t="s">
        <v>11</v>
      </c>
      <c r="N47" s="3" t="s">
        <v>12</v>
      </c>
      <c r="O47" s="14"/>
      <c r="P47" s="14"/>
      <c r="Q47" s="14"/>
      <c r="R47" s="14"/>
      <c r="S47" s="14"/>
      <c r="T47" s="15"/>
      <c r="U47" s="15"/>
      <c r="V47" s="15"/>
      <c r="W47" s="15"/>
      <c r="X47" s="15"/>
      <c r="Y47" s="15"/>
      <c r="Z47" s="15"/>
      <c r="AA47" s="15"/>
      <c r="AB47" s="15"/>
      <c r="AC47" s="15"/>
      <c r="AD47" s="15"/>
      <c r="AE47" s="15"/>
      <c r="AF47" s="15"/>
      <c r="AG47" s="15"/>
    </row>
    <row r="48" ht="15.75" customHeight="1">
      <c r="A48" s="3" t="s">
        <v>346</v>
      </c>
      <c r="B48" s="3" t="s">
        <v>347</v>
      </c>
      <c r="C48" s="3" t="s">
        <v>348</v>
      </c>
      <c r="D48" s="3" t="s">
        <v>349</v>
      </c>
      <c r="E48" s="26" t="s">
        <v>46</v>
      </c>
      <c r="F48" s="27"/>
      <c r="G48" s="3" t="s">
        <v>350</v>
      </c>
      <c r="H48" s="3" t="s">
        <v>343</v>
      </c>
      <c r="I48" s="3" t="s">
        <v>351</v>
      </c>
      <c r="J48" s="3" t="s">
        <v>352</v>
      </c>
      <c r="K48" s="3" t="s">
        <v>10</v>
      </c>
      <c r="L48" s="14"/>
      <c r="M48" s="3" t="s">
        <v>16</v>
      </c>
      <c r="N48" s="3" t="s">
        <v>16</v>
      </c>
      <c r="O48" s="14"/>
      <c r="P48" s="14"/>
      <c r="Q48" s="14"/>
      <c r="R48" s="14"/>
      <c r="S48" s="14"/>
      <c r="T48" s="15"/>
      <c r="U48" s="15"/>
      <c r="V48" s="15"/>
      <c r="W48" s="15"/>
      <c r="X48" s="15"/>
      <c r="Y48" s="15"/>
      <c r="Z48" s="15"/>
      <c r="AA48" s="15"/>
      <c r="AB48" s="15"/>
      <c r="AC48" s="15"/>
      <c r="AD48" s="15"/>
      <c r="AE48" s="15"/>
      <c r="AF48" s="15"/>
      <c r="AG48" s="15"/>
    </row>
    <row r="49" ht="15.75" customHeight="1">
      <c r="A49" s="3" t="s">
        <v>353</v>
      </c>
      <c r="B49" s="3" t="s">
        <v>354</v>
      </c>
      <c r="C49" s="3" t="s">
        <v>355</v>
      </c>
      <c r="D49" s="3" t="s">
        <v>356</v>
      </c>
      <c r="E49" s="26" t="s">
        <v>46</v>
      </c>
      <c r="F49" s="27"/>
      <c r="G49" s="3" t="s">
        <v>357</v>
      </c>
      <c r="H49" s="3" t="s">
        <v>343</v>
      </c>
      <c r="I49" s="3" t="s">
        <v>358</v>
      </c>
      <c r="J49" s="3" t="s">
        <v>359</v>
      </c>
      <c r="K49" s="3" t="s">
        <v>10</v>
      </c>
      <c r="L49" s="14"/>
      <c r="M49" s="3" t="s">
        <v>20</v>
      </c>
      <c r="N49" s="3" t="s">
        <v>16</v>
      </c>
      <c r="O49" s="14"/>
      <c r="P49" s="14"/>
      <c r="Q49" s="14"/>
      <c r="R49" s="14"/>
      <c r="S49" s="14"/>
      <c r="T49" s="15"/>
      <c r="U49" s="15"/>
      <c r="V49" s="15"/>
      <c r="W49" s="15"/>
      <c r="X49" s="15"/>
      <c r="Y49" s="15"/>
      <c r="Z49" s="15"/>
      <c r="AA49" s="15"/>
      <c r="AB49" s="15"/>
      <c r="AC49" s="15"/>
      <c r="AD49" s="15"/>
      <c r="AE49" s="15"/>
      <c r="AF49" s="15"/>
      <c r="AG49" s="15"/>
    </row>
    <row r="50" ht="15.75" customHeight="1">
      <c r="A50" s="3" t="s">
        <v>360</v>
      </c>
      <c r="B50" s="3" t="s">
        <v>361</v>
      </c>
      <c r="C50" s="3" t="s">
        <v>362</v>
      </c>
      <c r="D50" s="3" t="s">
        <v>363</v>
      </c>
      <c r="E50" s="26" t="s">
        <v>151</v>
      </c>
      <c r="F50" s="27"/>
      <c r="G50" s="3" t="s">
        <v>364</v>
      </c>
      <c r="H50" s="3" t="s">
        <v>365</v>
      </c>
      <c r="I50" s="3" t="s">
        <v>366</v>
      </c>
      <c r="J50" s="3" t="s">
        <v>367</v>
      </c>
      <c r="K50" s="3" t="s">
        <v>15</v>
      </c>
      <c r="L50" s="14"/>
      <c r="M50" s="3" t="s">
        <v>11</v>
      </c>
      <c r="N50" s="3" t="s">
        <v>12</v>
      </c>
      <c r="O50" s="14"/>
      <c r="P50" s="14"/>
      <c r="Q50" s="14"/>
      <c r="R50" s="14"/>
      <c r="S50" s="14"/>
      <c r="T50" s="15"/>
      <c r="U50" s="15"/>
      <c r="V50" s="15"/>
      <c r="W50" s="15"/>
      <c r="X50" s="15"/>
      <c r="Y50" s="15"/>
      <c r="Z50" s="15"/>
      <c r="AA50" s="15"/>
      <c r="AB50" s="15"/>
      <c r="AC50" s="15"/>
      <c r="AD50" s="15"/>
      <c r="AE50" s="15"/>
      <c r="AF50" s="15"/>
      <c r="AG50" s="15"/>
    </row>
    <row r="51" ht="15.75" customHeight="1">
      <c r="A51" s="3" t="s">
        <v>368</v>
      </c>
      <c r="B51" s="3" t="s">
        <v>369</v>
      </c>
      <c r="C51" s="3" t="s">
        <v>370</v>
      </c>
      <c r="D51" s="3" t="s">
        <v>371</v>
      </c>
      <c r="E51" s="26" t="s">
        <v>46</v>
      </c>
      <c r="F51" s="27"/>
      <c r="G51" s="3" t="s">
        <v>372</v>
      </c>
      <c r="H51" s="3" t="s">
        <v>296</v>
      </c>
      <c r="I51" s="3" t="s">
        <v>373</v>
      </c>
      <c r="J51" s="3" t="s">
        <v>374</v>
      </c>
      <c r="K51" s="3" t="s">
        <v>15</v>
      </c>
      <c r="L51" s="14"/>
      <c r="M51" s="3" t="s">
        <v>16</v>
      </c>
      <c r="N51" s="3" t="s">
        <v>16</v>
      </c>
      <c r="O51" s="14"/>
      <c r="P51" s="14"/>
      <c r="Q51" s="14"/>
      <c r="R51" s="14"/>
      <c r="S51" s="14"/>
      <c r="T51" s="15"/>
      <c r="U51" s="15"/>
      <c r="V51" s="15"/>
      <c r="W51" s="15"/>
      <c r="X51" s="15"/>
      <c r="Y51" s="15"/>
      <c r="Z51" s="15"/>
      <c r="AA51" s="15"/>
      <c r="AB51" s="15"/>
      <c r="AC51" s="15"/>
      <c r="AD51" s="15"/>
      <c r="AE51" s="15"/>
      <c r="AF51" s="15"/>
      <c r="AG51" s="15"/>
    </row>
    <row r="52" ht="15.75" customHeight="1">
      <c r="A52" s="3" t="s">
        <v>375</v>
      </c>
      <c r="B52" s="3" t="s">
        <v>376</v>
      </c>
      <c r="C52" s="3" t="s">
        <v>377</v>
      </c>
      <c r="D52" s="3" t="s">
        <v>378</v>
      </c>
      <c r="E52" s="26" t="s">
        <v>151</v>
      </c>
      <c r="F52" s="27"/>
      <c r="G52" s="3" t="s">
        <v>379</v>
      </c>
      <c r="H52" s="3" t="s">
        <v>48</v>
      </c>
      <c r="I52" s="3" t="s">
        <v>380</v>
      </c>
      <c r="J52" s="3" t="s">
        <v>381</v>
      </c>
      <c r="K52" s="3" t="s">
        <v>10</v>
      </c>
      <c r="L52" s="14"/>
      <c r="M52" s="3" t="s">
        <v>11</v>
      </c>
      <c r="N52" s="3" t="s">
        <v>12</v>
      </c>
      <c r="O52" s="14"/>
      <c r="P52" s="14"/>
      <c r="Q52" s="14"/>
      <c r="R52" s="14"/>
      <c r="S52" s="14"/>
      <c r="T52" s="15"/>
      <c r="U52" s="15"/>
      <c r="V52" s="15"/>
      <c r="W52" s="15"/>
      <c r="X52" s="15"/>
      <c r="Y52" s="15"/>
      <c r="Z52" s="15"/>
      <c r="AA52" s="15"/>
      <c r="AB52" s="15"/>
      <c r="AC52" s="15"/>
      <c r="AD52" s="15"/>
      <c r="AE52" s="15"/>
      <c r="AF52" s="15"/>
      <c r="AG52" s="15"/>
    </row>
    <row r="53" ht="15.75" customHeight="1">
      <c r="A53" s="3" t="s">
        <v>382</v>
      </c>
      <c r="B53" s="3" t="s">
        <v>383</v>
      </c>
      <c r="C53" s="3" t="s">
        <v>384</v>
      </c>
      <c r="D53" s="3" t="s">
        <v>385</v>
      </c>
      <c r="E53" s="26" t="s">
        <v>151</v>
      </c>
      <c r="F53" s="27"/>
      <c r="G53" s="3" t="s">
        <v>386</v>
      </c>
      <c r="H53" s="3" t="s">
        <v>48</v>
      </c>
      <c r="I53" s="3" t="s">
        <v>387</v>
      </c>
      <c r="J53" s="3" t="s">
        <v>388</v>
      </c>
      <c r="K53" s="29" t="s">
        <v>10</v>
      </c>
      <c r="L53" s="14"/>
      <c r="M53" s="3" t="s">
        <v>12</v>
      </c>
      <c r="N53" s="3" t="s">
        <v>12</v>
      </c>
      <c r="O53" s="14"/>
      <c r="P53" s="14"/>
      <c r="Q53" s="14"/>
      <c r="R53" s="14"/>
      <c r="S53" s="14"/>
      <c r="T53" s="15"/>
      <c r="U53" s="15"/>
      <c r="V53" s="15"/>
      <c r="W53" s="15"/>
      <c r="X53" s="15"/>
      <c r="Y53" s="15"/>
      <c r="Z53" s="15"/>
      <c r="AA53" s="15"/>
      <c r="AB53" s="15"/>
      <c r="AC53" s="15"/>
      <c r="AD53" s="15"/>
      <c r="AE53" s="15"/>
      <c r="AF53" s="15"/>
      <c r="AG53" s="15"/>
    </row>
    <row r="54" ht="15.75" customHeight="1">
      <c r="A54" s="3" t="s">
        <v>389</v>
      </c>
      <c r="B54" s="3" t="s">
        <v>390</v>
      </c>
      <c r="C54" s="3" t="s">
        <v>391</v>
      </c>
      <c r="D54" s="3" t="s">
        <v>392</v>
      </c>
      <c r="E54" s="26" t="s">
        <v>46</v>
      </c>
      <c r="F54" s="27"/>
      <c r="G54" s="3" t="s">
        <v>393</v>
      </c>
      <c r="H54" s="3" t="s">
        <v>394</v>
      </c>
      <c r="I54" s="3" t="s">
        <v>395</v>
      </c>
      <c r="J54" s="3" t="s">
        <v>396</v>
      </c>
      <c r="K54" s="3" t="s">
        <v>15</v>
      </c>
      <c r="L54" s="14"/>
      <c r="M54" s="3" t="s">
        <v>12</v>
      </c>
      <c r="N54" s="3" t="s">
        <v>12</v>
      </c>
      <c r="O54" s="14"/>
      <c r="P54" s="14"/>
      <c r="Q54" s="14"/>
      <c r="R54" s="14"/>
      <c r="S54" s="14"/>
      <c r="T54" s="15"/>
      <c r="U54" s="15"/>
      <c r="V54" s="15"/>
      <c r="W54" s="15"/>
      <c r="X54" s="15"/>
      <c r="Y54" s="15"/>
      <c r="Z54" s="15"/>
      <c r="AA54" s="15"/>
      <c r="AB54" s="15"/>
      <c r="AC54" s="15"/>
      <c r="AD54" s="15"/>
      <c r="AE54" s="15"/>
      <c r="AF54" s="15"/>
      <c r="AG54" s="15"/>
    </row>
    <row r="55" ht="15.75" customHeight="1">
      <c r="A55" s="3" t="s">
        <v>397</v>
      </c>
      <c r="B55" s="3" t="s">
        <v>398</v>
      </c>
      <c r="C55" s="3" t="s">
        <v>399</v>
      </c>
      <c r="D55" s="3" t="s">
        <v>400</v>
      </c>
      <c r="E55" s="26" t="s">
        <v>151</v>
      </c>
      <c r="F55" s="27"/>
      <c r="G55" s="3" t="s">
        <v>401</v>
      </c>
      <c r="H55" s="3" t="s">
        <v>402</v>
      </c>
      <c r="I55" s="3" t="s">
        <v>403</v>
      </c>
      <c r="J55" s="3" t="s">
        <v>404</v>
      </c>
      <c r="K55" s="3" t="s">
        <v>10</v>
      </c>
      <c r="L55" s="14"/>
      <c r="M55" s="3" t="s">
        <v>11</v>
      </c>
      <c r="N55" s="3" t="s">
        <v>12</v>
      </c>
      <c r="O55" s="14"/>
      <c r="P55" s="14"/>
      <c r="Q55" s="14"/>
      <c r="R55" s="14"/>
      <c r="S55" s="14"/>
      <c r="T55" s="15"/>
      <c r="U55" s="15"/>
      <c r="V55" s="15"/>
      <c r="W55" s="15"/>
      <c r="X55" s="15"/>
      <c r="Y55" s="15"/>
      <c r="Z55" s="15"/>
      <c r="AA55" s="15"/>
      <c r="AB55" s="15"/>
      <c r="AC55" s="15"/>
      <c r="AD55" s="15"/>
      <c r="AE55" s="15"/>
      <c r="AF55" s="15"/>
      <c r="AG55" s="15"/>
    </row>
    <row r="56" ht="15.75" customHeight="1">
      <c r="A56" s="3" t="s">
        <v>405</v>
      </c>
      <c r="B56" s="3" t="s">
        <v>406</v>
      </c>
      <c r="C56" s="3" t="s">
        <v>407</v>
      </c>
      <c r="D56" s="3" t="s">
        <v>408</v>
      </c>
      <c r="E56" s="26" t="s">
        <v>46</v>
      </c>
      <c r="F56" s="27"/>
      <c r="G56" s="3" t="s">
        <v>409</v>
      </c>
      <c r="H56" s="3" t="s">
        <v>410</v>
      </c>
      <c r="I56" s="3" t="s">
        <v>411</v>
      </c>
      <c r="J56" s="3" t="s">
        <v>412</v>
      </c>
      <c r="K56" s="3" t="s">
        <v>15</v>
      </c>
      <c r="L56" s="14"/>
      <c r="M56" s="3" t="s">
        <v>12</v>
      </c>
      <c r="N56" s="3" t="s">
        <v>12</v>
      </c>
      <c r="O56" s="14"/>
      <c r="P56" s="14"/>
      <c r="Q56" s="14"/>
      <c r="R56" s="14"/>
      <c r="S56" s="14"/>
      <c r="T56" s="15"/>
      <c r="U56" s="15"/>
      <c r="V56" s="15"/>
      <c r="W56" s="15"/>
      <c r="X56" s="15"/>
      <c r="Y56" s="15"/>
      <c r="Z56" s="15"/>
      <c r="AA56" s="15"/>
      <c r="AB56" s="15"/>
      <c r="AC56" s="15"/>
      <c r="AD56" s="15"/>
      <c r="AE56" s="15"/>
      <c r="AF56" s="15"/>
      <c r="AG56" s="15"/>
    </row>
    <row r="57" ht="15.75" customHeight="1">
      <c r="A57" s="3" t="s">
        <v>413</v>
      </c>
      <c r="B57" s="3" t="s">
        <v>414</v>
      </c>
      <c r="C57" s="3" t="s">
        <v>415</v>
      </c>
      <c r="D57" s="3" t="s">
        <v>416</v>
      </c>
      <c r="E57" s="26" t="s">
        <v>417</v>
      </c>
      <c r="F57" s="27"/>
      <c r="G57" s="3" t="s">
        <v>418</v>
      </c>
      <c r="H57" s="3" t="s">
        <v>419</v>
      </c>
      <c r="I57" s="3" t="s">
        <v>420</v>
      </c>
      <c r="J57" s="3" t="s">
        <v>421</v>
      </c>
      <c r="K57" s="3" t="s">
        <v>10</v>
      </c>
      <c r="L57" s="14"/>
      <c r="M57" s="3" t="s">
        <v>16</v>
      </c>
      <c r="N57" s="3" t="s">
        <v>16</v>
      </c>
      <c r="O57" s="14"/>
      <c r="P57" s="14"/>
      <c r="Q57" s="14"/>
      <c r="R57" s="14"/>
      <c r="S57" s="14"/>
      <c r="T57" s="15"/>
      <c r="U57" s="15"/>
      <c r="V57" s="15"/>
      <c r="W57" s="15"/>
      <c r="X57" s="15"/>
      <c r="Y57" s="15"/>
      <c r="Z57" s="15"/>
      <c r="AA57" s="15"/>
      <c r="AB57" s="15"/>
      <c r="AC57" s="15"/>
      <c r="AD57" s="15"/>
      <c r="AE57" s="15"/>
      <c r="AF57" s="15"/>
      <c r="AG57" s="15"/>
    </row>
    <row r="58" ht="15.75" customHeight="1">
      <c r="A58" s="3" t="s">
        <v>422</v>
      </c>
      <c r="B58" s="3" t="s">
        <v>423</v>
      </c>
      <c r="C58" s="3" t="s">
        <v>424</v>
      </c>
      <c r="D58" s="3" t="s">
        <v>425</v>
      </c>
      <c r="E58" s="26" t="s">
        <v>46</v>
      </c>
      <c r="F58" s="27"/>
      <c r="G58" s="3" t="s">
        <v>426</v>
      </c>
      <c r="H58" s="3" t="s">
        <v>427</v>
      </c>
      <c r="I58" s="3" t="s">
        <v>428</v>
      </c>
      <c r="J58" s="3" t="s">
        <v>429</v>
      </c>
      <c r="K58" s="3" t="s">
        <v>15</v>
      </c>
      <c r="L58" s="14"/>
      <c r="M58" s="3" t="s">
        <v>12</v>
      </c>
      <c r="N58" s="3" t="s">
        <v>12</v>
      </c>
      <c r="O58" s="14"/>
      <c r="P58" s="14"/>
      <c r="Q58" s="14"/>
      <c r="R58" s="14"/>
      <c r="S58" s="14"/>
      <c r="T58" s="15"/>
      <c r="U58" s="15"/>
      <c r="V58" s="15"/>
      <c r="W58" s="15"/>
      <c r="X58" s="15"/>
      <c r="Y58" s="15"/>
      <c r="Z58" s="15"/>
      <c r="AA58" s="15"/>
      <c r="AB58" s="15"/>
      <c r="AC58" s="15"/>
      <c r="AD58" s="15"/>
      <c r="AE58" s="15"/>
      <c r="AF58" s="15"/>
      <c r="AG58" s="15"/>
    </row>
    <row r="59" ht="15.75" customHeight="1">
      <c r="A59" s="3" t="s">
        <v>430</v>
      </c>
      <c r="B59" s="3" t="s">
        <v>431</v>
      </c>
      <c r="C59" s="3" t="s">
        <v>432</v>
      </c>
      <c r="D59" s="3" t="s">
        <v>433</v>
      </c>
      <c r="E59" s="26" t="s">
        <v>46</v>
      </c>
      <c r="F59" s="27"/>
      <c r="G59" s="3" t="s">
        <v>434</v>
      </c>
      <c r="H59" s="3" t="s">
        <v>48</v>
      </c>
      <c r="I59" s="3" t="s">
        <v>435</v>
      </c>
      <c r="J59" s="3" t="s">
        <v>436</v>
      </c>
      <c r="K59" s="3" t="s">
        <v>10</v>
      </c>
      <c r="L59" s="14"/>
      <c r="M59" s="3" t="s">
        <v>12</v>
      </c>
      <c r="N59" s="3" t="s">
        <v>12</v>
      </c>
      <c r="O59" s="14"/>
      <c r="P59" s="14"/>
      <c r="Q59" s="14"/>
      <c r="R59" s="14"/>
      <c r="S59" s="14"/>
      <c r="T59" s="15"/>
      <c r="U59" s="15"/>
      <c r="V59" s="15"/>
      <c r="W59" s="15"/>
      <c r="X59" s="15"/>
      <c r="Y59" s="15"/>
      <c r="Z59" s="15"/>
      <c r="AA59" s="15"/>
      <c r="AB59" s="15"/>
      <c r="AC59" s="15"/>
      <c r="AD59" s="15"/>
      <c r="AE59" s="15"/>
      <c r="AF59" s="15"/>
      <c r="AG59" s="15"/>
    </row>
    <row r="60" ht="15.75" customHeight="1">
      <c r="A60" s="3" t="s">
        <v>437</v>
      </c>
      <c r="B60" s="3" t="s">
        <v>438</v>
      </c>
      <c r="C60" s="3" t="s">
        <v>439</v>
      </c>
      <c r="D60" s="3" t="s">
        <v>440</v>
      </c>
      <c r="E60" s="26" t="s">
        <v>46</v>
      </c>
      <c r="F60" s="27"/>
      <c r="G60" s="3" t="s">
        <v>441</v>
      </c>
      <c r="H60" s="3" t="s">
        <v>442</v>
      </c>
      <c r="I60" s="3" t="s">
        <v>443</v>
      </c>
      <c r="J60" s="3" t="s">
        <v>444</v>
      </c>
      <c r="K60" s="3" t="s">
        <v>10</v>
      </c>
      <c r="L60" s="14"/>
      <c r="M60" s="3" t="s">
        <v>12</v>
      </c>
      <c r="N60" s="3" t="s">
        <v>12</v>
      </c>
      <c r="O60" s="14"/>
      <c r="P60" s="14"/>
      <c r="Q60" s="14"/>
      <c r="R60" s="14"/>
      <c r="S60" s="14"/>
      <c r="T60" s="15"/>
      <c r="U60" s="15"/>
      <c r="V60" s="15"/>
      <c r="W60" s="15"/>
      <c r="X60" s="15"/>
      <c r="Y60" s="15"/>
      <c r="Z60" s="15"/>
      <c r="AA60" s="15"/>
      <c r="AB60" s="15"/>
      <c r="AC60" s="15"/>
      <c r="AD60" s="15"/>
      <c r="AE60" s="15"/>
      <c r="AF60" s="15"/>
      <c r="AG60" s="15"/>
    </row>
    <row r="61" ht="15.75" customHeight="1">
      <c r="A61" s="3" t="s">
        <v>445</v>
      </c>
      <c r="B61" s="3" t="s">
        <v>446</v>
      </c>
      <c r="C61" s="3" t="s">
        <v>447</v>
      </c>
      <c r="D61" s="3" t="s">
        <v>448</v>
      </c>
      <c r="E61" s="26" t="s">
        <v>46</v>
      </c>
      <c r="F61" s="27"/>
      <c r="G61" s="3" t="s">
        <v>449</v>
      </c>
      <c r="H61" s="3" t="s">
        <v>450</v>
      </c>
      <c r="I61" s="3" t="s">
        <v>451</v>
      </c>
      <c r="J61" s="3" t="s">
        <v>452</v>
      </c>
      <c r="K61" s="3" t="s">
        <v>10</v>
      </c>
      <c r="L61" s="14"/>
      <c r="M61" s="3" t="s">
        <v>12</v>
      </c>
      <c r="N61" s="3" t="s">
        <v>12</v>
      </c>
      <c r="O61" s="14"/>
      <c r="P61" s="14"/>
      <c r="Q61" s="14"/>
      <c r="R61" s="14"/>
      <c r="S61" s="14"/>
      <c r="T61" s="30"/>
      <c r="U61" s="30"/>
      <c r="V61" s="30"/>
      <c r="W61" s="30"/>
      <c r="X61" s="30"/>
      <c r="Y61" s="30"/>
      <c r="Z61" s="30"/>
      <c r="AA61" s="30"/>
      <c r="AB61" s="30"/>
      <c r="AC61" s="30"/>
      <c r="AD61" s="30"/>
      <c r="AE61" s="30"/>
      <c r="AF61" s="30"/>
      <c r="AG61" s="30"/>
    </row>
    <row r="62" ht="15.75" customHeight="1">
      <c r="A62" s="3" t="s">
        <v>453</v>
      </c>
      <c r="B62" s="3" t="s">
        <v>454</v>
      </c>
      <c r="C62" s="3" t="s">
        <v>455</v>
      </c>
      <c r="D62" s="3" t="s">
        <v>456</v>
      </c>
      <c r="E62" s="26" t="s">
        <v>46</v>
      </c>
      <c r="F62" s="27"/>
      <c r="G62" s="3" t="s">
        <v>457</v>
      </c>
      <c r="H62" s="3" t="s">
        <v>458</v>
      </c>
      <c r="I62" s="3" t="s">
        <v>459</v>
      </c>
      <c r="J62" s="3" t="s">
        <v>460</v>
      </c>
      <c r="K62" s="3" t="s">
        <v>15</v>
      </c>
      <c r="L62" s="14"/>
      <c r="M62" s="3" t="s">
        <v>16</v>
      </c>
      <c r="N62" s="3" t="s">
        <v>16</v>
      </c>
      <c r="O62" s="14"/>
      <c r="P62" s="14"/>
      <c r="Q62" s="14"/>
      <c r="R62" s="14"/>
      <c r="S62" s="14"/>
      <c r="T62" s="30"/>
      <c r="U62" s="30"/>
      <c r="V62" s="30"/>
      <c r="W62" s="30"/>
      <c r="X62" s="30"/>
      <c r="Y62" s="30"/>
      <c r="Z62" s="30"/>
      <c r="AA62" s="30"/>
      <c r="AB62" s="30"/>
      <c r="AC62" s="30"/>
      <c r="AD62" s="30"/>
      <c r="AE62" s="30"/>
      <c r="AF62" s="30"/>
      <c r="AG62" s="30"/>
    </row>
    <row r="63" ht="15.75" customHeight="1">
      <c r="A63" s="3" t="s">
        <v>461</v>
      </c>
      <c r="B63" s="3" t="s">
        <v>462</v>
      </c>
      <c r="C63" s="3" t="s">
        <v>463</v>
      </c>
      <c r="D63" s="3" t="s">
        <v>464</v>
      </c>
      <c r="E63" s="26" t="s">
        <v>46</v>
      </c>
      <c r="F63" s="27"/>
      <c r="G63" s="3" t="s">
        <v>465</v>
      </c>
      <c r="H63" s="3" t="s">
        <v>466</v>
      </c>
      <c r="I63" s="3" t="s">
        <v>467</v>
      </c>
      <c r="J63" s="3" t="s">
        <v>468</v>
      </c>
      <c r="K63" s="3" t="s">
        <v>10</v>
      </c>
      <c r="L63" s="14"/>
      <c r="M63" s="3" t="s">
        <v>12</v>
      </c>
      <c r="N63" s="3" t="s">
        <v>12</v>
      </c>
      <c r="O63" s="14"/>
      <c r="P63" s="14"/>
      <c r="Q63" s="14"/>
      <c r="R63" s="14"/>
      <c r="S63" s="14"/>
      <c r="T63" s="30"/>
      <c r="U63" s="30"/>
      <c r="V63" s="30"/>
      <c r="W63" s="30"/>
      <c r="X63" s="30"/>
      <c r="Y63" s="30"/>
      <c r="Z63" s="30"/>
      <c r="AA63" s="30"/>
      <c r="AB63" s="30"/>
      <c r="AC63" s="30"/>
      <c r="AD63" s="30"/>
      <c r="AE63" s="30"/>
      <c r="AF63" s="30"/>
      <c r="AG63" s="30"/>
    </row>
    <row r="64" ht="15.75" customHeight="1">
      <c r="A64" s="3" t="s">
        <v>469</v>
      </c>
      <c r="B64" s="3" t="s">
        <v>470</v>
      </c>
      <c r="C64" s="3" t="s">
        <v>471</v>
      </c>
      <c r="D64" s="3" t="s">
        <v>472</v>
      </c>
      <c r="E64" s="26" t="s">
        <v>46</v>
      </c>
      <c r="F64" s="27"/>
      <c r="G64" s="3" t="s">
        <v>473</v>
      </c>
      <c r="H64" s="3" t="s">
        <v>474</v>
      </c>
      <c r="I64" s="3" t="s">
        <v>475</v>
      </c>
      <c r="J64" s="3" t="s">
        <v>468</v>
      </c>
      <c r="K64" s="3" t="s">
        <v>10</v>
      </c>
      <c r="L64" s="14"/>
      <c r="M64" s="3" t="s">
        <v>12</v>
      </c>
      <c r="N64" s="3" t="s">
        <v>12</v>
      </c>
      <c r="O64" s="14"/>
      <c r="P64" s="14"/>
      <c r="Q64" s="14"/>
      <c r="R64" s="14"/>
      <c r="S64" s="14"/>
      <c r="T64" s="30"/>
      <c r="U64" s="30"/>
      <c r="V64" s="30"/>
      <c r="W64" s="30"/>
      <c r="X64" s="30"/>
      <c r="Y64" s="30"/>
      <c r="Z64" s="30"/>
      <c r="AA64" s="30"/>
      <c r="AB64" s="30"/>
      <c r="AC64" s="30"/>
      <c r="AD64" s="30"/>
      <c r="AE64" s="30"/>
      <c r="AF64" s="30"/>
      <c r="AG64" s="30"/>
    </row>
    <row r="65" ht="15.75" customHeight="1">
      <c r="A65" s="3" t="s">
        <v>476</v>
      </c>
      <c r="B65" s="3" t="s">
        <v>477</v>
      </c>
      <c r="C65" s="3" t="s">
        <v>478</v>
      </c>
      <c r="D65" s="3" t="s">
        <v>479</v>
      </c>
      <c r="E65" s="26" t="s">
        <v>46</v>
      </c>
      <c r="F65" s="27"/>
      <c r="G65" s="3" t="s">
        <v>480</v>
      </c>
      <c r="H65" s="3" t="s">
        <v>481</v>
      </c>
      <c r="I65" s="3" t="s">
        <v>482</v>
      </c>
      <c r="J65" s="3" t="s">
        <v>468</v>
      </c>
      <c r="K65" s="3" t="s">
        <v>10</v>
      </c>
      <c r="L65" s="14"/>
      <c r="M65" s="3" t="s">
        <v>16</v>
      </c>
      <c r="N65" s="3" t="s">
        <v>12</v>
      </c>
      <c r="O65" s="14"/>
      <c r="P65" s="14"/>
      <c r="Q65" s="14"/>
      <c r="R65" s="14"/>
      <c r="S65" s="14"/>
      <c r="T65" s="30"/>
      <c r="U65" s="30"/>
      <c r="V65" s="30"/>
      <c r="W65" s="30"/>
      <c r="X65" s="30"/>
      <c r="Y65" s="30"/>
      <c r="Z65" s="30"/>
      <c r="AA65" s="30"/>
      <c r="AB65" s="30"/>
      <c r="AC65" s="30"/>
      <c r="AD65" s="30"/>
      <c r="AE65" s="30"/>
      <c r="AF65" s="30"/>
      <c r="AG65" s="30"/>
    </row>
    <row r="66" ht="15.75" customHeight="1">
      <c r="A66" s="3" t="s">
        <v>483</v>
      </c>
      <c r="B66" s="3" t="s">
        <v>484</v>
      </c>
      <c r="C66" s="3" t="s">
        <v>485</v>
      </c>
      <c r="D66" s="3" t="s">
        <v>486</v>
      </c>
      <c r="E66" s="26" t="s">
        <v>46</v>
      </c>
      <c r="F66" s="27"/>
      <c r="G66" s="3" t="s">
        <v>487</v>
      </c>
      <c r="H66" s="3" t="s">
        <v>488</v>
      </c>
      <c r="I66" s="3" t="s">
        <v>489</v>
      </c>
      <c r="J66" s="3" t="s">
        <v>490</v>
      </c>
      <c r="K66" s="3" t="s">
        <v>10</v>
      </c>
      <c r="L66" s="14"/>
      <c r="M66" s="3" t="s">
        <v>16</v>
      </c>
      <c r="N66" s="3" t="s">
        <v>12</v>
      </c>
      <c r="O66" s="14"/>
      <c r="P66" s="14"/>
      <c r="Q66" s="14"/>
      <c r="R66" s="14"/>
      <c r="S66" s="14"/>
      <c r="T66" s="30"/>
      <c r="U66" s="30"/>
      <c r="V66" s="30"/>
      <c r="W66" s="30"/>
      <c r="X66" s="30"/>
      <c r="Y66" s="30"/>
      <c r="Z66" s="30"/>
      <c r="AA66" s="30"/>
      <c r="AB66" s="30"/>
      <c r="AC66" s="30"/>
      <c r="AD66" s="30"/>
      <c r="AE66" s="30"/>
      <c r="AF66" s="30"/>
      <c r="AG66" s="30"/>
    </row>
    <row r="67" ht="15.75" customHeight="1">
      <c r="A67" s="31"/>
      <c r="B67" s="32"/>
      <c r="C67" s="32"/>
      <c r="D67" s="32"/>
      <c r="E67" s="33"/>
      <c r="F67" s="33"/>
      <c r="G67" s="32"/>
      <c r="H67" s="32"/>
      <c r="I67" s="32"/>
      <c r="J67" s="32"/>
      <c r="K67" s="32"/>
      <c r="L67" s="32"/>
      <c r="M67" s="32"/>
      <c r="N67" s="32"/>
      <c r="O67" s="32"/>
      <c r="P67" s="32"/>
      <c r="Q67" s="32"/>
      <c r="R67" s="32"/>
      <c r="S67" s="32"/>
      <c r="T67" s="15"/>
      <c r="U67" s="15"/>
      <c r="V67" s="15"/>
      <c r="W67" s="15"/>
      <c r="X67" s="15"/>
      <c r="Y67" s="15"/>
      <c r="Z67" s="15"/>
      <c r="AA67" s="15"/>
      <c r="AB67" s="15"/>
      <c r="AC67" s="15"/>
      <c r="AD67" s="15"/>
      <c r="AE67" s="15"/>
      <c r="AF67" s="15"/>
      <c r="AG67" s="15"/>
    </row>
    <row r="68" ht="15.75" customHeight="1">
      <c r="A68" s="31"/>
      <c r="B68" s="32"/>
      <c r="C68" s="32"/>
      <c r="D68" s="32"/>
      <c r="E68" s="33"/>
      <c r="F68" s="33"/>
      <c r="G68" s="32"/>
      <c r="H68" s="32"/>
      <c r="I68" s="32"/>
      <c r="J68" s="32"/>
      <c r="K68" s="32"/>
      <c r="L68" s="32"/>
      <c r="M68" s="32"/>
      <c r="N68" s="32"/>
      <c r="O68" s="32"/>
      <c r="P68" s="32"/>
      <c r="Q68" s="32"/>
      <c r="R68" s="32"/>
      <c r="S68" s="32"/>
      <c r="T68" s="15"/>
      <c r="U68" s="15"/>
      <c r="V68" s="15"/>
      <c r="W68" s="15"/>
      <c r="X68" s="15"/>
      <c r="Y68" s="15"/>
      <c r="Z68" s="15"/>
      <c r="AA68" s="15"/>
      <c r="AB68" s="15"/>
      <c r="AC68" s="15"/>
      <c r="AD68" s="15"/>
      <c r="AE68" s="15"/>
      <c r="AF68" s="15"/>
      <c r="AG68" s="15"/>
    </row>
    <row r="69" ht="15.75" customHeight="1">
      <c r="A69" s="31"/>
      <c r="B69" s="32"/>
      <c r="C69" s="32"/>
      <c r="D69" s="32"/>
      <c r="E69" s="33"/>
      <c r="F69" s="33"/>
      <c r="G69" s="32"/>
      <c r="H69" s="32"/>
      <c r="I69" s="32"/>
      <c r="J69" s="32"/>
      <c r="K69" s="32"/>
      <c r="L69" s="32"/>
      <c r="M69" s="32"/>
      <c r="N69" s="32"/>
      <c r="O69" s="32"/>
      <c r="P69" s="32"/>
      <c r="Q69" s="32"/>
      <c r="R69" s="32"/>
      <c r="S69" s="32"/>
      <c r="T69" s="15"/>
      <c r="U69" s="15"/>
      <c r="V69" s="15"/>
      <c r="W69" s="15"/>
      <c r="X69" s="15"/>
      <c r="Y69" s="15"/>
      <c r="Z69" s="15"/>
      <c r="AA69" s="15"/>
      <c r="AB69" s="15"/>
      <c r="AC69" s="15"/>
      <c r="AD69" s="15"/>
      <c r="AE69" s="15"/>
      <c r="AF69" s="15"/>
      <c r="AG69" s="15"/>
    </row>
    <row r="70" ht="15.75" customHeight="1">
      <c r="A70" s="31"/>
      <c r="B70" s="32"/>
      <c r="C70" s="32"/>
      <c r="D70" s="32"/>
      <c r="E70" s="33"/>
      <c r="F70" s="33"/>
      <c r="G70" s="32"/>
      <c r="H70" s="32"/>
      <c r="I70" s="32"/>
      <c r="J70" s="32"/>
      <c r="K70" s="32"/>
      <c r="L70" s="32"/>
      <c r="M70" s="32"/>
      <c r="N70" s="32"/>
      <c r="O70" s="32"/>
      <c r="P70" s="32"/>
      <c r="Q70" s="32"/>
      <c r="R70" s="32"/>
      <c r="S70" s="32"/>
      <c r="T70" s="15"/>
      <c r="U70" s="15"/>
      <c r="V70" s="15"/>
      <c r="W70" s="15"/>
      <c r="X70" s="15"/>
      <c r="Y70" s="15"/>
      <c r="Z70" s="15"/>
      <c r="AA70" s="15"/>
      <c r="AB70" s="15"/>
      <c r="AC70" s="15"/>
      <c r="AD70" s="15"/>
      <c r="AE70" s="15"/>
      <c r="AF70" s="15"/>
      <c r="AG70" s="15"/>
    </row>
    <row r="71" ht="15.75" customHeight="1">
      <c r="A71" s="31"/>
      <c r="B71" s="32"/>
      <c r="C71" s="32"/>
      <c r="D71" s="32"/>
      <c r="E71" s="33"/>
      <c r="F71" s="33"/>
      <c r="G71" s="32"/>
      <c r="H71" s="32"/>
      <c r="I71" s="32"/>
      <c r="J71" s="32"/>
      <c r="K71" s="32"/>
      <c r="L71" s="32"/>
      <c r="M71" s="32"/>
      <c r="N71" s="32"/>
      <c r="O71" s="32"/>
      <c r="P71" s="32"/>
      <c r="Q71" s="32"/>
      <c r="R71" s="32"/>
      <c r="S71" s="32"/>
      <c r="T71" s="15"/>
      <c r="U71" s="15"/>
      <c r="V71" s="15"/>
      <c r="W71" s="15"/>
      <c r="X71" s="15"/>
      <c r="Y71" s="15"/>
      <c r="Z71" s="15"/>
      <c r="AA71" s="15"/>
      <c r="AB71" s="15"/>
      <c r="AC71" s="15"/>
      <c r="AD71" s="15"/>
      <c r="AE71" s="15"/>
      <c r="AF71" s="15"/>
      <c r="AG71" s="15"/>
    </row>
    <row r="72" ht="15.75" customHeight="1">
      <c r="A72" s="15"/>
      <c r="B72" s="15"/>
      <c r="C72" s="15"/>
      <c r="D72" s="15"/>
      <c r="E72" s="34"/>
      <c r="F72" s="34"/>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row>
    <row r="73" ht="15.75" customHeight="1">
      <c r="A73" s="15"/>
      <c r="B73" s="15"/>
      <c r="C73" s="15"/>
      <c r="D73" s="15"/>
      <c r="E73" s="34"/>
      <c r="F73" s="34"/>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row>
    <row r="74" ht="15.75" customHeight="1">
      <c r="A74" s="15"/>
      <c r="B74" s="15"/>
      <c r="C74" s="15"/>
      <c r="D74" s="15"/>
      <c r="E74" s="34"/>
      <c r="F74" s="34"/>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row>
    <row r="75" ht="15.75" customHeight="1">
      <c r="A75" s="15"/>
      <c r="B75" s="15"/>
      <c r="C75" s="15"/>
      <c r="D75" s="15"/>
      <c r="E75" s="34"/>
      <c r="F75" s="34"/>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row>
    <row r="76" ht="15.75" customHeight="1">
      <c r="A76" s="15"/>
      <c r="B76" s="15"/>
      <c r="C76" s="15"/>
      <c r="D76" s="15"/>
      <c r="E76" s="34"/>
      <c r="F76" s="34"/>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row>
    <row r="77" ht="15.75" customHeight="1">
      <c r="A77" s="15"/>
      <c r="B77" s="15"/>
      <c r="C77" s="15"/>
      <c r="D77" s="15"/>
      <c r="E77" s="34"/>
      <c r="F77" s="34"/>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row>
    <row r="78" ht="15.75" customHeight="1">
      <c r="A78" s="15"/>
      <c r="B78" s="15"/>
      <c r="C78" s="15"/>
      <c r="D78" s="15"/>
      <c r="E78" s="34"/>
      <c r="F78" s="34"/>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row>
    <row r="79" ht="15.75" customHeight="1">
      <c r="A79" s="15"/>
      <c r="B79" s="15"/>
      <c r="C79" s="15"/>
      <c r="D79" s="15"/>
      <c r="E79" s="34"/>
      <c r="F79" s="34"/>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row>
    <row r="80" ht="15.75" customHeight="1">
      <c r="A80" s="15"/>
      <c r="B80" s="15"/>
      <c r="C80" s="15"/>
      <c r="D80" s="15"/>
      <c r="E80" s="34"/>
      <c r="F80" s="34"/>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row>
    <row r="81" ht="15.75" customHeight="1">
      <c r="A81" s="15"/>
      <c r="B81" s="15"/>
      <c r="C81" s="15"/>
      <c r="D81" s="15"/>
      <c r="E81" s="34"/>
      <c r="F81" s="34"/>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row>
    <row r="82" ht="15.75" customHeight="1">
      <c r="A82" s="15"/>
      <c r="B82" s="15"/>
      <c r="C82" s="15"/>
      <c r="D82" s="15"/>
      <c r="E82" s="34"/>
      <c r="F82" s="34"/>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row>
    <row r="83" ht="15.75" customHeight="1">
      <c r="A83" s="15"/>
      <c r="B83" s="15"/>
      <c r="C83" s="15"/>
      <c r="D83" s="15"/>
      <c r="E83" s="34"/>
      <c r="F83" s="34"/>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row>
    <row r="84" ht="15.75" customHeight="1">
      <c r="A84" s="15"/>
      <c r="B84" s="15"/>
      <c r="C84" s="15"/>
      <c r="D84" s="15"/>
      <c r="E84" s="34"/>
      <c r="F84" s="34"/>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row>
    <row r="85" ht="15.75" customHeight="1">
      <c r="A85" s="15"/>
      <c r="B85" s="15"/>
      <c r="C85" s="15"/>
      <c r="D85" s="15"/>
      <c r="E85" s="34"/>
      <c r="F85" s="34"/>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row>
    <row r="86" ht="15.75" customHeight="1">
      <c r="A86" s="15"/>
      <c r="B86" s="15"/>
      <c r="C86" s="15"/>
      <c r="D86" s="15"/>
      <c r="E86" s="34"/>
      <c r="F86" s="34"/>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row>
    <row r="87" ht="15.75" customHeight="1">
      <c r="A87" s="15"/>
      <c r="B87" s="15"/>
      <c r="C87" s="15"/>
      <c r="D87" s="15"/>
      <c r="E87" s="34"/>
      <c r="F87" s="34"/>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row>
    <row r="88" ht="15.75" customHeight="1">
      <c r="A88" s="15"/>
      <c r="B88" s="15"/>
      <c r="C88" s="15"/>
      <c r="D88" s="15"/>
      <c r="E88" s="34"/>
      <c r="F88" s="34"/>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row>
    <row r="89" ht="15.75" customHeight="1">
      <c r="A89" s="15"/>
      <c r="B89" s="15"/>
      <c r="C89" s="15"/>
      <c r="D89" s="15"/>
      <c r="E89" s="34"/>
      <c r="F89" s="34"/>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row>
    <row r="90" ht="15.75" customHeight="1">
      <c r="A90" s="15"/>
      <c r="B90" s="15"/>
      <c r="C90" s="15"/>
      <c r="D90" s="15"/>
      <c r="E90" s="34"/>
      <c r="F90" s="34"/>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row>
    <row r="91" ht="15.75" customHeight="1">
      <c r="A91" s="15"/>
      <c r="B91" s="15"/>
      <c r="C91" s="15"/>
      <c r="D91" s="15"/>
      <c r="E91" s="34"/>
      <c r="F91" s="34"/>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row>
    <row r="92" ht="15.75" customHeight="1">
      <c r="A92" s="15"/>
      <c r="B92" s="15"/>
      <c r="C92" s="15"/>
      <c r="D92" s="15"/>
      <c r="E92" s="34"/>
      <c r="F92" s="34"/>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row>
    <row r="93" ht="15.75" customHeight="1">
      <c r="A93" s="15"/>
      <c r="B93" s="15"/>
      <c r="C93" s="15"/>
      <c r="D93" s="15"/>
      <c r="E93" s="34"/>
      <c r="F93" s="34"/>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row>
    <row r="94" ht="15.75" customHeight="1">
      <c r="A94" s="15"/>
      <c r="B94" s="15"/>
      <c r="C94" s="15"/>
      <c r="D94" s="15"/>
      <c r="E94" s="34"/>
      <c r="F94" s="34"/>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row>
    <row r="95" ht="15.75" customHeight="1">
      <c r="A95" s="15"/>
      <c r="B95" s="15"/>
      <c r="C95" s="15"/>
      <c r="D95" s="15"/>
      <c r="E95" s="34"/>
      <c r="F95" s="34"/>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row>
    <row r="96" ht="15.75" customHeight="1">
      <c r="A96" s="15"/>
      <c r="B96" s="15"/>
      <c r="C96" s="15"/>
      <c r="D96" s="15"/>
      <c r="E96" s="34"/>
      <c r="F96" s="34"/>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row>
    <row r="97" ht="15.75" customHeight="1">
      <c r="A97" s="15"/>
      <c r="B97" s="15"/>
      <c r="C97" s="15"/>
      <c r="D97" s="15"/>
      <c r="E97" s="34"/>
      <c r="F97" s="34"/>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row>
    <row r="98" ht="15.75" customHeight="1">
      <c r="A98" s="15"/>
      <c r="B98" s="15"/>
      <c r="C98" s="15"/>
      <c r="D98" s="15"/>
      <c r="E98" s="34"/>
      <c r="F98" s="34"/>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row>
    <row r="99" ht="15.75" customHeight="1">
      <c r="A99" s="15"/>
      <c r="B99" s="15"/>
      <c r="C99" s="15"/>
      <c r="D99" s="15"/>
      <c r="E99" s="34"/>
      <c r="F99" s="34"/>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row>
    <row r="100" ht="15.75" customHeight="1">
      <c r="A100" s="15"/>
      <c r="B100" s="15"/>
      <c r="C100" s="15"/>
      <c r="D100" s="15"/>
      <c r="E100" s="34"/>
      <c r="F100" s="34"/>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row>
    <row r="101" ht="15.75" customHeight="1">
      <c r="A101" s="15"/>
      <c r="B101" s="15"/>
      <c r="C101" s="15"/>
      <c r="D101" s="15"/>
      <c r="E101" s="34"/>
      <c r="F101" s="34"/>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row>
    <row r="102" ht="15.75" customHeight="1">
      <c r="A102" s="15"/>
      <c r="B102" s="15"/>
      <c r="C102" s="15"/>
      <c r="D102" s="15"/>
      <c r="E102" s="34"/>
      <c r="F102" s="34"/>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row>
    <row r="103" ht="15.75" customHeight="1">
      <c r="A103" s="15"/>
      <c r="B103" s="15"/>
      <c r="C103" s="15"/>
      <c r="D103" s="15"/>
      <c r="E103" s="34"/>
      <c r="F103" s="34"/>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row>
    <row r="104" ht="15.75" customHeight="1">
      <c r="A104" s="15"/>
      <c r="B104" s="15"/>
      <c r="C104" s="15"/>
      <c r="D104" s="15"/>
      <c r="E104" s="34"/>
      <c r="F104" s="34"/>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row>
    <row r="105" ht="15.75" customHeight="1">
      <c r="A105" s="15"/>
      <c r="B105" s="15"/>
      <c r="C105" s="15"/>
      <c r="D105" s="15"/>
      <c r="E105" s="34"/>
      <c r="F105" s="34"/>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row>
    <row r="106" ht="15.75" customHeight="1">
      <c r="A106" s="15"/>
      <c r="B106" s="15"/>
      <c r="C106" s="15"/>
      <c r="D106" s="15"/>
      <c r="E106" s="34"/>
      <c r="F106" s="34"/>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row>
    <row r="107" ht="15.75" customHeight="1">
      <c r="A107" s="15"/>
      <c r="B107" s="15"/>
      <c r="C107" s="15"/>
      <c r="D107" s="15"/>
      <c r="E107" s="34"/>
      <c r="F107" s="34"/>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row>
    <row r="108" ht="15.75" customHeight="1">
      <c r="A108" s="15"/>
      <c r="B108" s="15"/>
      <c r="C108" s="15"/>
      <c r="D108" s="15"/>
      <c r="E108" s="34"/>
      <c r="F108" s="34"/>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row>
    <row r="109" ht="15.75" customHeight="1">
      <c r="A109" s="15"/>
      <c r="B109" s="15"/>
      <c r="C109" s="15"/>
      <c r="D109" s="15"/>
      <c r="E109" s="34"/>
      <c r="F109" s="34"/>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row>
    <row r="110" ht="15.75" customHeight="1">
      <c r="A110" s="15"/>
      <c r="B110" s="15"/>
      <c r="C110" s="15"/>
      <c r="D110" s="15"/>
      <c r="E110" s="34"/>
      <c r="F110" s="34"/>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row>
    <row r="111" ht="15.75" customHeight="1">
      <c r="A111" s="15"/>
      <c r="B111" s="15"/>
      <c r="C111" s="15"/>
      <c r="D111" s="15"/>
      <c r="E111" s="34"/>
      <c r="F111" s="34"/>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row>
    <row r="112" ht="15.75" customHeight="1">
      <c r="A112" s="15"/>
      <c r="B112" s="15"/>
      <c r="C112" s="15"/>
      <c r="D112" s="15"/>
      <c r="E112" s="34"/>
      <c r="F112" s="34"/>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row>
    <row r="113" ht="15.75" customHeight="1">
      <c r="A113" s="15"/>
      <c r="B113" s="15"/>
      <c r="C113" s="15"/>
      <c r="D113" s="15"/>
      <c r="E113" s="34"/>
      <c r="F113" s="34"/>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row>
    <row r="114" ht="15.75" customHeight="1">
      <c r="A114" s="15"/>
      <c r="B114" s="15"/>
      <c r="C114" s="15"/>
      <c r="D114" s="15"/>
      <c r="E114" s="34"/>
      <c r="F114" s="34"/>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row>
    <row r="115" ht="15.75" customHeight="1">
      <c r="A115" s="15"/>
      <c r="B115" s="15"/>
      <c r="C115" s="15"/>
      <c r="D115" s="15"/>
      <c r="E115" s="34"/>
      <c r="F115" s="34"/>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row>
    <row r="116" ht="15.75" customHeight="1">
      <c r="A116" s="15"/>
      <c r="B116" s="15"/>
      <c r="C116" s="15"/>
      <c r="D116" s="15"/>
      <c r="E116" s="34"/>
      <c r="F116" s="34"/>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row>
    <row r="117" ht="15.75" customHeight="1">
      <c r="A117" s="15"/>
      <c r="B117" s="15"/>
      <c r="C117" s="15"/>
      <c r="D117" s="15"/>
      <c r="E117" s="34"/>
      <c r="F117" s="34"/>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row>
    <row r="118" ht="15.75" customHeight="1">
      <c r="A118" s="15"/>
      <c r="B118" s="15"/>
      <c r="C118" s="15"/>
      <c r="D118" s="15"/>
      <c r="E118" s="34"/>
      <c r="F118" s="34"/>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row>
    <row r="119" ht="15.75" customHeight="1">
      <c r="A119" s="15"/>
      <c r="B119" s="15"/>
      <c r="C119" s="15"/>
      <c r="D119" s="15"/>
      <c r="E119" s="34"/>
      <c r="F119" s="34"/>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row>
    <row r="120" ht="15.75" customHeight="1">
      <c r="A120" s="15"/>
      <c r="B120" s="15"/>
      <c r="C120" s="15"/>
      <c r="D120" s="15"/>
      <c r="E120" s="34"/>
      <c r="F120" s="34"/>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row>
    <row r="121" ht="15.75" customHeight="1">
      <c r="A121" s="15"/>
      <c r="B121" s="15"/>
      <c r="C121" s="15"/>
      <c r="D121" s="15"/>
      <c r="E121" s="34"/>
      <c r="F121" s="34"/>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row>
    <row r="122" ht="15.75" customHeight="1">
      <c r="A122" s="15"/>
      <c r="B122" s="15"/>
      <c r="C122" s="15"/>
      <c r="D122" s="15"/>
      <c r="E122" s="34"/>
      <c r="F122" s="34"/>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row>
    <row r="123" ht="15.75" customHeight="1">
      <c r="A123" s="15"/>
      <c r="B123" s="15"/>
      <c r="C123" s="15"/>
      <c r="D123" s="15"/>
      <c r="E123" s="34"/>
      <c r="F123" s="34"/>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row>
    <row r="124" ht="15.75" customHeight="1">
      <c r="A124" s="15"/>
      <c r="B124" s="15"/>
      <c r="C124" s="15"/>
      <c r="D124" s="15"/>
      <c r="E124" s="34"/>
      <c r="F124" s="34"/>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row>
    <row r="125" ht="15.75" customHeight="1">
      <c r="A125" s="15"/>
      <c r="B125" s="15"/>
      <c r="C125" s="15"/>
      <c r="D125" s="15"/>
      <c r="E125" s="34"/>
      <c r="F125" s="34"/>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row>
    <row r="126" ht="15.75" customHeight="1">
      <c r="A126" s="15"/>
      <c r="B126" s="15"/>
      <c r="C126" s="15"/>
      <c r="D126" s="15"/>
      <c r="E126" s="34"/>
      <c r="F126" s="34"/>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row>
    <row r="127" ht="15.75" customHeight="1">
      <c r="A127" s="15"/>
      <c r="B127" s="15"/>
      <c r="C127" s="15"/>
      <c r="D127" s="15"/>
      <c r="E127" s="34"/>
      <c r="F127" s="34"/>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row>
    <row r="128" ht="15.75" customHeight="1">
      <c r="A128" s="15"/>
      <c r="B128" s="15"/>
      <c r="C128" s="15"/>
      <c r="D128" s="15"/>
      <c r="E128" s="34"/>
      <c r="F128" s="34"/>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row>
    <row r="129" ht="15.75" customHeight="1">
      <c r="A129" s="15"/>
      <c r="B129" s="15"/>
      <c r="C129" s="15"/>
      <c r="D129" s="15"/>
      <c r="E129" s="34"/>
      <c r="F129" s="34"/>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row>
    <row r="130" ht="15.75" customHeight="1">
      <c r="A130" s="15"/>
      <c r="B130" s="15"/>
      <c r="C130" s="15"/>
      <c r="D130" s="15"/>
      <c r="E130" s="34"/>
      <c r="F130" s="34"/>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row>
    <row r="131" ht="15.75" customHeight="1">
      <c r="A131" s="15"/>
      <c r="B131" s="15"/>
      <c r="C131" s="15"/>
      <c r="D131" s="15"/>
      <c r="E131" s="34"/>
      <c r="F131" s="34"/>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row>
    <row r="132" ht="15.75" customHeight="1">
      <c r="A132" s="15"/>
      <c r="B132" s="15"/>
      <c r="C132" s="15"/>
      <c r="D132" s="15"/>
      <c r="E132" s="34"/>
      <c r="F132" s="34"/>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row>
    <row r="133" ht="15.75" customHeight="1">
      <c r="A133" s="15"/>
      <c r="B133" s="15"/>
      <c r="C133" s="15"/>
      <c r="D133" s="15"/>
      <c r="E133" s="34"/>
      <c r="F133" s="34"/>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row>
    <row r="134" ht="15.75" customHeight="1">
      <c r="A134" s="15"/>
      <c r="B134" s="15"/>
      <c r="C134" s="15"/>
      <c r="D134" s="15"/>
      <c r="E134" s="34"/>
      <c r="F134" s="34"/>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row>
    <row r="135" ht="15.75" customHeight="1">
      <c r="A135" s="15"/>
      <c r="B135" s="15"/>
      <c r="C135" s="15"/>
      <c r="D135" s="15"/>
      <c r="E135" s="34"/>
      <c r="F135" s="34"/>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row>
    <row r="136" ht="15.75" customHeight="1">
      <c r="A136" s="15"/>
      <c r="B136" s="15"/>
      <c r="C136" s="15"/>
      <c r="D136" s="15"/>
      <c r="E136" s="34"/>
      <c r="F136" s="34"/>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row>
    <row r="137" ht="15.75" customHeight="1">
      <c r="A137" s="15"/>
      <c r="B137" s="15"/>
      <c r="C137" s="15"/>
      <c r="D137" s="15"/>
      <c r="E137" s="34"/>
      <c r="F137" s="34"/>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row>
    <row r="138" ht="15.75" customHeight="1">
      <c r="A138" s="15"/>
      <c r="B138" s="15"/>
      <c r="C138" s="15"/>
      <c r="D138" s="15"/>
      <c r="E138" s="34"/>
      <c r="F138" s="34"/>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row>
    <row r="139" ht="15.75" customHeight="1">
      <c r="A139" s="15"/>
      <c r="B139" s="15"/>
      <c r="C139" s="15"/>
      <c r="D139" s="15"/>
      <c r="E139" s="34"/>
      <c r="F139" s="34"/>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row>
    <row r="140" ht="15.75" customHeight="1">
      <c r="A140" s="15"/>
      <c r="B140" s="15"/>
      <c r="C140" s="15"/>
      <c r="D140" s="15"/>
      <c r="E140" s="34"/>
      <c r="F140" s="34"/>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row>
    <row r="141" ht="15.75" customHeight="1">
      <c r="A141" s="15"/>
      <c r="B141" s="15"/>
      <c r="C141" s="15"/>
      <c r="D141" s="15"/>
      <c r="E141" s="34"/>
      <c r="F141" s="34"/>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row>
    <row r="142" ht="15.75" customHeight="1">
      <c r="A142" s="15"/>
      <c r="B142" s="15"/>
      <c r="C142" s="15"/>
      <c r="D142" s="15"/>
      <c r="E142" s="34"/>
      <c r="F142" s="34"/>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row>
    <row r="143" ht="15.75" customHeight="1">
      <c r="A143" s="15"/>
      <c r="B143" s="15"/>
      <c r="C143" s="15"/>
      <c r="D143" s="15"/>
      <c r="E143" s="34"/>
      <c r="F143" s="34"/>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row>
    <row r="144" ht="15.75" customHeight="1">
      <c r="A144" s="15"/>
      <c r="B144" s="15"/>
      <c r="C144" s="15"/>
      <c r="D144" s="15"/>
      <c r="E144" s="34"/>
      <c r="F144" s="34"/>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row>
    <row r="145" ht="15.75" customHeight="1">
      <c r="A145" s="15"/>
      <c r="B145" s="15"/>
      <c r="C145" s="15"/>
      <c r="D145" s="15"/>
      <c r="E145" s="34"/>
      <c r="F145" s="34"/>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row>
    <row r="146" ht="15.75" customHeight="1">
      <c r="A146" s="15"/>
      <c r="B146" s="15"/>
      <c r="C146" s="15"/>
      <c r="D146" s="15"/>
      <c r="E146" s="34"/>
      <c r="F146" s="34"/>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row>
    <row r="147" ht="15.75" customHeight="1">
      <c r="A147" s="15"/>
      <c r="B147" s="15"/>
      <c r="C147" s="15"/>
      <c r="D147" s="15"/>
      <c r="E147" s="34"/>
      <c r="F147" s="34"/>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row>
    <row r="148" ht="15.75" customHeight="1">
      <c r="A148" s="15"/>
      <c r="B148" s="15"/>
      <c r="C148" s="15"/>
      <c r="D148" s="15"/>
      <c r="E148" s="34"/>
      <c r="F148" s="34"/>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row>
    <row r="149" ht="15.75" customHeight="1">
      <c r="A149" s="15"/>
      <c r="B149" s="15"/>
      <c r="C149" s="15"/>
      <c r="D149" s="15"/>
      <c r="E149" s="34"/>
      <c r="F149" s="34"/>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row>
    <row r="150" ht="15.75" customHeight="1">
      <c r="A150" s="15"/>
      <c r="B150" s="15"/>
      <c r="C150" s="15"/>
      <c r="D150" s="15"/>
      <c r="E150" s="34"/>
      <c r="F150" s="34"/>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row>
    <row r="151" ht="15.75" customHeight="1">
      <c r="A151" s="15"/>
      <c r="B151" s="15"/>
      <c r="C151" s="15"/>
      <c r="D151" s="15"/>
      <c r="E151" s="34"/>
      <c r="F151" s="34"/>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row>
    <row r="152" ht="15.75" customHeight="1">
      <c r="A152" s="15"/>
      <c r="B152" s="15"/>
      <c r="C152" s="15"/>
      <c r="D152" s="15"/>
      <c r="E152" s="34"/>
      <c r="F152" s="34"/>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row>
    <row r="153" ht="15.75" customHeight="1">
      <c r="A153" s="15"/>
      <c r="B153" s="15"/>
      <c r="C153" s="15"/>
      <c r="D153" s="15"/>
      <c r="E153" s="34"/>
      <c r="F153" s="34"/>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row>
    <row r="154" ht="15.75" customHeight="1">
      <c r="A154" s="15"/>
      <c r="B154" s="15"/>
      <c r="C154" s="15"/>
      <c r="D154" s="15"/>
      <c r="E154" s="34"/>
      <c r="F154" s="34"/>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row>
    <row r="155" ht="15.75" customHeight="1">
      <c r="A155" s="15"/>
      <c r="B155" s="15"/>
      <c r="C155" s="15"/>
      <c r="D155" s="15"/>
      <c r="E155" s="34"/>
      <c r="F155" s="34"/>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row>
    <row r="156" ht="15.75" customHeight="1">
      <c r="A156" s="15"/>
      <c r="B156" s="15"/>
      <c r="C156" s="15"/>
      <c r="D156" s="15"/>
      <c r="E156" s="34"/>
      <c r="F156" s="34"/>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row>
    <row r="157" ht="15.75" customHeight="1">
      <c r="A157" s="15"/>
      <c r="B157" s="15"/>
      <c r="C157" s="15"/>
      <c r="D157" s="15"/>
      <c r="E157" s="34"/>
      <c r="F157" s="34"/>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row>
    <row r="158" ht="15.75" customHeight="1">
      <c r="A158" s="15"/>
      <c r="B158" s="15"/>
      <c r="C158" s="15"/>
      <c r="D158" s="15"/>
      <c r="E158" s="34"/>
      <c r="F158" s="34"/>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row>
    <row r="159" ht="15.75" customHeight="1">
      <c r="A159" s="15"/>
      <c r="B159" s="15"/>
      <c r="C159" s="15"/>
      <c r="D159" s="15"/>
      <c r="E159" s="34"/>
      <c r="F159" s="34"/>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row>
    <row r="160" ht="15.75" customHeight="1">
      <c r="A160" s="15"/>
      <c r="B160" s="15"/>
      <c r="C160" s="15"/>
      <c r="D160" s="15"/>
      <c r="E160" s="34"/>
      <c r="F160" s="34"/>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row>
    <row r="161" ht="15.75" customHeight="1">
      <c r="A161" s="15"/>
      <c r="B161" s="15"/>
      <c r="C161" s="15"/>
      <c r="D161" s="15"/>
      <c r="E161" s="34"/>
      <c r="F161" s="34"/>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row>
    <row r="162" ht="15.75" customHeight="1">
      <c r="A162" s="15"/>
      <c r="B162" s="15"/>
      <c r="C162" s="15"/>
      <c r="D162" s="15"/>
      <c r="E162" s="34"/>
      <c r="F162" s="34"/>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row>
    <row r="163" ht="15.75" customHeight="1">
      <c r="A163" s="15"/>
      <c r="B163" s="15"/>
      <c r="C163" s="15"/>
      <c r="D163" s="15"/>
      <c r="E163" s="34"/>
      <c r="F163" s="34"/>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row>
    <row r="164" ht="15.75" customHeight="1">
      <c r="A164" s="15"/>
      <c r="B164" s="15"/>
      <c r="C164" s="15"/>
      <c r="D164" s="15"/>
      <c r="E164" s="34"/>
      <c r="F164" s="34"/>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row>
    <row r="165" ht="15.75" customHeight="1">
      <c r="A165" s="15"/>
      <c r="B165" s="15"/>
      <c r="C165" s="15"/>
      <c r="D165" s="15"/>
      <c r="E165" s="34"/>
      <c r="F165" s="34"/>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row>
    <row r="166" ht="15.75" customHeight="1">
      <c r="A166" s="15"/>
      <c r="B166" s="15"/>
      <c r="C166" s="15"/>
      <c r="D166" s="15"/>
      <c r="E166" s="34"/>
      <c r="F166" s="34"/>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row>
    <row r="167" ht="15.75" customHeight="1">
      <c r="A167" s="15"/>
      <c r="B167" s="15"/>
      <c r="C167" s="15"/>
      <c r="D167" s="15"/>
      <c r="E167" s="34"/>
      <c r="F167" s="34"/>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row>
    <row r="168" ht="15.75" customHeight="1">
      <c r="A168" s="15"/>
      <c r="B168" s="15"/>
      <c r="C168" s="15"/>
      <c r="D168" s="15"/>
      <c r="E168" s="34"/>
      <c r="F168" s="34"/>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row>
    <row r="169" ht="15.75" customHeight="1">
      <c r="A169" s="15"/>
      <c r="B169" s="15"/>
      <c r="C169" s="15"/>
      <c r="D169" s="15"/>
      <c r="E169" s="34"/>
      <c r="F169" s="34"/>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row>
    <row r="170" ht="15.75" customHeight="1">
      <c r="A170" s="15"/>
      <c r="B170" s="15"/>
      <c r="C170" s="15"/>
      <c r="D170" s="15"/>
      <c r="E170" s="34"/>
      <c r="F170" s="34"/>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row>
    <row r="171" ht="15.75" customHeight="1">
      <c r="A171" s="15"/>
      <c r="B171" s="15"/>
      <c r="C171" s="15"/>
      <c r="D171" s="15"/>
      <c r="E171" s="34"/>
      <c r="F171" s="34"/>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row>
    <row r="172" ht="15.75" customHeight="1">
      <c r="A172" s="15"/>
      <c r="B172" s="15"/>
      <c r="C172" s="15"/>
      <c r="D172" s="15"/>
      <c r="E172" s="34"/>
      <c r="F172" s="34"/>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row>
    <row r="173" ht="15.75" customHeight="1">
      <c r="A173" s="15"/>
      <c r="B173" s="15"/>
      <c r="C173" s="15"/>
      <c r="D173" s="15"/>
      <c r="E173" s="34"/>
      <c r="F173" s="34"/>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row>
    <row r="174" ht="15.75" customHeight="1">
      <c r="A174" s="15"/>
      <c r="B174" s="15"/>
      <c r="C174" s="15"/>
      <c r="D174" s="15"/>
      <c r="E174" s="34"/>
      <c r="F174" s="34"/>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row>
    <row r="175" ht="15.75" customHeight="1">
      <c r="A175" s="15"/>
      <c r="B175" s="15"/>
      <c r="C175" s="15"/>
      <c r="D175" s="15"/>
      <c r="E175" s="34"/>
      <c r="F175" s="34"/>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row>
    <row r="176" ht="15.75" customHeight="1">
      <c r="A176" s="15"/>
      <c r="B176" s="15"/>
      <c r="C176" s="15"/>
      <c r="D176" s="15"/>
      <c r="E176" s="34"/>
      <c r="F176" s="34"/>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row>
    <row r="177" ht="15.75" customHeight="1">
      <c r="A177" s="15"/>
      <c r="B177" s="15"/>
      <c r="C177" s="15"/>
      <c r="D177" s="15"/>
      <c r="E177" s="34"/>
      <c r="F177" s="34"/>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row>
    <row r="178" ht="15.75" customHeight="1">
      <c r="A178" s="15"/>
      <c r="B178" s="15"/>
      <c r="C178" s="15"/>
      <c r="D178" s="15"/>
      <c r="E178" s="34"/>
      <c r="F178" s="34"/>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row>
    <row r="179" ht="15.75" customHeight="1">
      <c r="A179" s="15"/>
      <c r="B179" s="15"/>
      <c r="C179" s="15"/>
      <c r="D179" s="15"/>
      <c r="E179" s="34"/>
      <c r="F179" s="34"/>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row>
    <row r="180" ht="15.75" customHeight="1">
      <c r="A180" s="15"/>
      <c r="B180" s="15"/>
      <c r="C180" s="15"/>
      <c r="D180" s="15"/>
      <c r="E180" s="34"/>
      <c r="F180" s="34"/>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row>
    <row r="181" ht="15.75" customHeight="1">
      <c r="A181" s="15"/>
      <c r="B181" s="15"/>
      <c r="C181" s="15"/>
      <c r="D181" s="15"/>
      <c r="E181" s="34"/>
      <c r="F181" s="34"/>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row>
    <row r="182" ht="15.75" customHeight="1">
      <c r="A182" s="15"/>
      <c r="B182" s="15"/>
      <c r="C182" s="15"/>
      <c r="D182" s="15"/>
      <c r="E182" s="34"/>
      <c r="F182" s="34"/>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row>
    <row r="183" ht="15.75" customHeight="1">
      <c r="A183" s="15"/>
      <c r="B183" s="15"/>
      <c r="C183" s="15"/>
      <c r="D183" s="15"/>
      <c r="E183" s="34"/>
      <c r="F183" s="34"/>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row>
    <row r="184" ht="15.75" customHeight="1">
      <c r="A184" s="15"/>
      <c r="B184" s="15"/>
      <c r="C184" s="15"/>
      <c r="D184" s="15"/>
      <c r="E184" s="34"/>
      <c r="F184" s="34"/>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row>
    <row r="185" ht="15.75" customHeight="1">
      <c r="A185" s="15"/>
      <c r="B185" s="15"/>
      <c r="C185" s="15"/>
      <c r="D185" s="15"/>
      <c r="E185" s="34"/>
      <c r="F185" s="34"/>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row>
    <row r="186" ht="15.75" customHeight="1">
      <c r="A186" s="15"/>
      <c r="B186" s="15"/>
      <c r="C186" s="15"/>
      <c r="D186" s="15"/>
      <c r="E186" s="34"/>
      <c r="F186" s="34"/>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row>
    <row r="187" ht="15.75" customHeight="1">
      <c r="A187" s="15"/>
      <c r="B187" s="15"/>
      <c r="C187" s="15"/>
      <c r="D187" s="15"/>
      <c r="E187" s="34"/>
      <c r="F187" s="34"/>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row>
    <row r="188" ht="15.75" customHeight="1">
      <c r="A188" s="15"/>
      <c r="B188" s="15"/>
      <c r="C188" s="15"/>
      <c r="D188" s="15"/>
      <c r="E188" s="34"/>
      <c r="F188" s="34"/>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row>
    <row r="189" ht="15.75" customHeight="1">
      <c r="A189" s="15"/>
      <c r="B189" s="15"/>
      <c r="C189" s="15"/>
      <c r="D189" s="15"/>
      <c r="E189" s="34"/>
      <c r="F189" s="34"/>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row>
    <row r="190" ht="15.75" customHeight="1">
      <c r="A190" s="15"/>
      <c r="B190" s="15"/>
      <c r="C190" s="15"/>
      <c r="D190" s="15"/>
      <c r="E190" s="34"/>
      <c r="F190" s="34"/>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row>
    <row r="191" ht="15.75" customHeight="1">
      <c r="A191" s="15"/>
      <c r="B191" s="15"/>
      <c r="C191" s="15"/>
      <c r="D191" s="15"/>
      <c r="E191" s="34"/>
      <c r="F191" s="34"/>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row>
    <row r="192" ht="15.75" customHeight="1">
      <c r="A192" s="15"/>
      <c r="B192" s="15"/>
      <c r="C192" s="15"/>
      <c r="D192" s="15"/>
      <c r="E192" s="34"/>
      <c r="F192" s="34"/>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row>
    <row r="193" ht="15.75" customHeight="1">
      <c r="A193" s="15"/>
      <c r="B193" s="15"/>
      <c r="C193" s="15"/>
      <c r="D193" s="15"/>
      <c r="E193" s="34"/>
      <c r="F193" s="34"/>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row>
    <row r="194" ht="15.75" customHeight="1">
      <c r="A194" s="15"/>
      <c r="B194" s="15"/>
      <c r="C194" s="15"/>
      <c r="D194" s="15"/>
      <c r="E194" s="34"/>
      <c r="F194" s="34"/>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row>
    <row r="195" ht="15.75" customHeight="1">
      <c r="A195" s="15"/>
      <c r="B195" s="15"/>
      <c r="C195" s="15"/>
      <c r="D195" s="15"/>
      <c r="E195" s="34"/>
      <c r="F195" s="34"/>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row>
    <row r="196" ht="15.75" customHeight="1">
      <c r="A196" s="15"/>
      <c r="B196" s="15"/>
      <c r="C196" s="15"/>
      <c r="D196" s="15"/>
      <c r="E196" s="34"/>
      <c r="F196" s="34"/>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row>
    <row r="197" ht="15.75" customHeight="1">
      <c r="A197" s="15"/>
      <c r="B197" s="15"/>
      <c r="C197" s="15"/>
      <c r="D197" s="15"/>
      <c r="E197" s="34"/>
      <c r="F197" s="34"/>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row>
    <row r="198" ht="15.75" customHeight="1">
      <c r="A198" s="15"/>
      <c r="B198" s="15"/>
      <c r="C198" s="15"/>
      <c r="D198" s="15"/>
      <c r="E198" s="34"/>
      <c r="F198" s="34"/>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row>
    <row r="199" ht="15.75" customHeight="1">
      <c r="A199" s="15"/>
      <c r="B199" s="15"/>
      <c r="C199" s="15"/>
      <c r="D199" s="15"/>
      <c r="E199" s="34"/>
      <c r="F199" s="34"/>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row>
    <row r="200" ht="15.75" customHeight="1">
      <c r="A200" s="15"/>
      <c r="B200" s="15"/>
      <c r="C200" s="15"/>
      <c r="D200" s="15"/>
      <c r="E200" s="34"/>
      <c r="F200" s="34"/>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row>
    <row r="201" ht="15.75" customHeight="1">
      <c r="A201" s="15"/>
      <c r="B201" s="15"/>
      <c r="C201" s="15"/>
      <c r="D201" s="15"/>
      <c r="E201" s="34"/>
      <c r="F201" s="34"/>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row>
    <row r="202" ht="15.75" customHeight="1">
      <c r="A202" s="15"/>
      <c r="B202" s="15"/>
      <c r="C202" s="15"/>
      <c r="D202" s="15"/>
      <c r="E202" s="34"/>
      <c r="F202" s="34"/>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row>
    <row r="203" ht="15.75" customHeight="1">
      <c r="A203" s="15"/>
      <c r="B203" s="15"/>
      <c r="C203" s="15"/>
      <c r="D203" s="15"/>
      <c r="E203" s="34"/>
      <c r="F203" s="34"/>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row>
    <row r="204" ht="15.75" customHeight="1">
      <c r="A204" s="15"/>
      <c r="B204" s="15"/>
      <c r="C204" s="15"/>
      <c r="D204" s="15"/>
      <c r="E204" s="34"/>
      <c r="F204" s="34"/>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row>
    <row r="205" ht="15.75" customHeight="1">
      <c r="A205" s="15"/>
      <c r="B205" s="15"/>
      <c r="C205" s="15"/>
      <c r="D205" s="15"/>
      <c r="E205" s="34"/>
      <c r="F205" s="34"/>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row>
    <row r="206" ht="15.75" customHeight="1">
      <c r="A206" s="15"/>
      <c r="B206" s="15"/>
      <c r="C206" s="15"/>
      <c r="D206" s="15"/>
      <c r="E206" s="34"/>
      <c r="F206" s="34"/>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row>
    <row r="207" ht="15.75" customHeight="1">
      <c r="A207" s="15"/>
      <c r="B207" s="15"/>
      <c r="C207" s="15"/>
      <c r="D207" s="15"/>
      <c r="E207" s="34"/>
      <c r="F207" s="34"/>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row>
    <row r="208" ht="15.75" customHeight="1">
      <c r="A208" s="15"/>
      <c r="B208" s="15"/>
      <c r="C208" s="15"/>
      <c r="D208" s="15"/>
      <c r="E208" s="34"/>
      <c r="F208" s="34"/>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row>
    <row r="209" ht="15.75" customHeight="1">
      <c r="A209" s="15"/>
      <c r="B209" s="15"/>
      <c r="C209" s="15"/>
      <c r="D209" s="15"/>
      <c r="E209" s="34"/>
      <c r="F209" s="34"/>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row>
    <row r="210" ht="15.75" customHeight="1">
      <c r="A210" s="15"/>
      <c r="B210" s="15"/>
      <c r="C210" s="15"/>
      <c r="D210" s="15"/>
      <c r="E210" s="34"/>
      <c r="F210" s="34"/>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row>
    <row r="211" ht="15.75" customHeight="1">
      <c r="A211" s="15"/>
      <c r="B211" s="15"/>
      <c r="C211" s="15"/>
      <c r="D211" s="15"/>
      <c r="E211" s="34"/>
      <c r="F211" s="34"/>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row>
    <row r="212" ht="15.75" customHeight="1">
      <c r="A212" s="15"/>
      <c r="B212" s="15"/>
      <c r="C212" s="15"/>
      <c r="D212" s="15"/>
      <c r="E212" s="34"/>
      <c r="F212" s="34"/>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ht="15.75" customHeight="1">
      <c r="A213" s="15"/>
      <c r="B213" s="15"/>
      <c r="C213" s="15"/>
      <c r="D213" s="15"/>
      <c r="E213" s="34"/>
      <c r="F213" s="34"/>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row>
    <row r="214" ht="15.75" customHeight="1">
      <c r="A214" s="15"/>
      <c r="B214" s="15"/>
      <c r="C214" s="15"/>
      <c r="D214" s="15"/>
      <c r="E214" s="34"/>
      <c r="F214" s="34"/>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row>
    <row r="215" ht="15.75" customHeight="1">
      <c r="A215" s="15"/>
      <c r="B215" s="15"/>
      <c r="C215" s="15"/>
      <c r="D215" s="15"/>
      <c r="E215" s="34"/>
      <c r="F215" s="34"/>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row>
    <row r="216" ht="15.75" customHeight="1">
      <c r="A216" s="15"/>
      <c r="B216" s="15"/>
      <c r="C216" s="15"/>
      <c r="D216" s="15"/>
      <c r="E216" s="34"/>
      <c r="F216" s="34"/>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row>
    <row r="217" ht="15.75" customHeight="1">
      <c r="A217" s="15"/>
      <c r="B217" s="15"/>
      <c r="C217" s="15"/>
      <c r="D217" s="15"/>
      <c r="E217" s="34"/>
      <c r="F217" s="34"/>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row>
    <row r="218" ht="15.75" customHeight="1">
      <c r="A218" s="15"/>
      <c r="B218" s="15"/>
      <c r="C218" s="15"/>
      <c r="D218" s="15"/>
      <c r="E218" s="34"/>
      <c r="F218" s="34"/>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row>
    <row r="219" ht="15.75" customHeight="1">
      <c r="A219" s="15"/>
      <c r="B219" s="15"/>
      <c r="C219" s="15"/>
      <c r="D219" s="15"/>
      <c r="E219" s="34"/>
      <c r="F219" s="34"/>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row>
    <row r="220" ht="15.75" customHeight="1">
      <c r="A220" s="15"/>
      <c r="B220" s="15"/>
      <c r="C220" s="15"/>
      <c r="D220" s="15"/>
      <c r="E220" s="34"/>
      <c r="F220" s="34"/>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row>
    <row r="221" ht="15.75" customHeight="1">
      <c r="A221" s="15"/>
      <c r="B221" s="15"/>
      <c r="C221" s="15"/>
      <c r="D221" s="15"/>
      <c r="E221" s="34"/>
      <c r="F221" s="34"/>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row>
    <row r="222" ht="15.75" customHeight="1">
      <c r="A222" s="15"/>
      <c r="B222" s="15"/>
      <c r="C222" s="15"/>
      <c r="D222" s="15"/>
      <c r="E222" s="34"/>
      <c r="F222" s="34"/>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ht="15.75" customHeight="1">
      <c r="A223" s="15"/>
      <c r="B223" s="15"/>
      <c r="C223" s="15"/>
      <c r="D223" s="15"/>
      <c r="E223" s="34"/>
      <c r="F223" s="34"/>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row>
    <row r="224" ht="15.75" customHeight="1">
      <c r="A224" s="15"/>
      <c r="B224" s="15"/>
      <c r="C224" s="15"/>
      <c r="D224" s="15"/>
      <c r="E224" s="34"/>
      <c r="F224" s="34"/>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row>
    <row r="225" ht="15.75" customHeight="1">
      <c r="A225" s="15"/>
      <c r="B225" s="15"/>
      <c r="C225" s="15"/>
      <c r="D225" s="15"/>
      <c r="E225" s="34"/>
      <c r="F225" s="34"/>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ht="15.75" customHeight="1">
      <c r="A226" s="15"/>
      <c r="B226" s="15"/>
      <c r="C226" s="15"/>
      <c r="D226" s="15"/>
      <c r="E226" s="34"/>
      <c r="F226" s="34"/>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row>
    <row r="227" ht="15.75" customHeight="1">
      <c r="A227" s="15"/>
      <c r="B227" s="15"/>
      <c r="C227" s="15"/>
      <c r="D227" s="15"/>
      <c r="E227" s="34"/>
      <c r="F227" s="34"/>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row>
    <row r="228" ht="15.75" customHeight="1">
      <c r="A228" s="15"/>
      <c r="B228" s="15"/>
      <c r="C228" s="15"/>
      <c r="D228" s="15"/>
      <c r="E228" s="34"/>
      <c r="F228" s="34"/>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row>
    <row r="229" ht="15.75" customHeight="1">
      <c r="A229" s="15"/>
      <c r="B229" s="15"/>
      <c r="C229" s="15"/>
      <c r="D229" s="15"/>
      <c r="E229" s="34"/>
      <c r="F229" s="34"/>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ht="15.75" customHeight="1">
      <c r="A230" s="15"/>
      <c r="B230" s="15"/>
      <c r="C230" s="15"/>
      <c r="D230" s="15"/>
      <c r="E230" s="34"/>
      <c r="F230" s="34"/>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ht="15.75" customHeight="1">
      <c r="A231" s="15"/>
      <c r="B231" s="15"/>
      <c r="C231" s="15"/>
      <c r="D231" s="15"/>
      <c r="E231" s="34"/>
      <c r="F231" s="34"/>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row>
    <row r="232" ht="15.75" customHeight="1">
      <c r="A232" s="15"/>
      <c r="B232" s="15"/>
      <c r="C232" s="15"/>
      <c r="D232" s="15"/>
      <c r="E232" s="34"/>
      <c r="F232" s="34"/>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row>
    <row r="233" ht="15.75" customHeight="1">
      <c r="A233" s="15"/>
      <c r="B233" s="15"/>
      <c r="C233" s="15"/>
      <c r="D233" s="15"/>
      <c r="E233" s="34"/>
      <c r="F233" s="34"/>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ht="15.75" customHeight="1">
      <c r="A234" s="15"/>
      <c r="B234" s="15"/>
      <c r="C234" s="15"/>
      <c r="D234" s="15"/>
      <c r="E234" s="34"/>
      <c r="F234" s="34"/>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row>
    <row r="235" ht="15.75" customHeight="1">
      <c r="A235" s="15"/>
      <c r="B235" s="15"/>
      <c r="C235" s="15"/>
      <c r="D235" s="15"/>
      <c r="E235" s="34"/>
      <c r="F235" s="34"/>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row>
    <row r="236" ht="15.75" customHeight="1">
      <c r="A236" s="15"/>
      <c r="B236" s="15"/>
      <c r="C236" s="15"/>
      <c r="D236" s="15"/>
      <c r="E236" s="34"/>
      <c r="F236" s="34"/>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row>
    <row r="237" ht="15.75" customHeight="1">
      <c r="A237" s="15"/>
      <c r="B237" s="15"/>
      <c r="C237" s="15"/>
      <c r="D237" s="15"/>
      <c r="E237" s="34"/>
      <c r="F237" s="34"/>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ht="15.75" customHeight="1">
      <c r="E238" s="35"/>
      <c r="K238" s="35"/>
      <c r="M238" s="35"/>
      <c r="N238" s="35"/>
      <c r="P238" s="35"/>
      <c r="S238" s="35"/>
    </row>
    <row r="239" ht="15.75" customHeight="1">
      <c r="E239" s="35"/>
      <c r="K239" s="35"/>
      <c r="M239" s="35"/>
      <c r="N239" s="35"/>
      <c r="P239" s="35"/>
      <c r="S239" s="35"/>
    </row>
    <row r="240" ht="15.75" customHeight="1">
      <c r="E240" s="35"/>
      <c r="K240" s="35"/>
      <c r="M240" s="35"/>
      <c r="N240" s="35"/>
      <c r="P240" s="35"/>
      <c r="S240" s="35"/>
    </row>
    <row r="241" ht="15.75" customHeight="1">
      <c r="E241" s="35"/>
      <c r="K241" s="35"/>
      <c r="M241" s="35"/>
      <c r="N241" s="35"/>
      <c r="P241" s="35"/>
      <c r="S241" s="35"/>
    </row>
    <row r="242" ht="15.75" customHeight="1">
      <c r="E242" s="35"/>
      <c r="K242" s="35"/>
      <c r="M242" s="35"/>
      <c r="N242" s="35"/>
      <c r="P242" s="35"/>
      <c r="S242" s="35"/>
    </row>
    <row r="243" ht="15.75" customHeight="1">
      <c r="E243" s="35"/>
      <c r="K243" s="35"/>
      <c r="M243" s="35"/>
      <c r="N243" s="35"/>
      <c r="P243" s="35"/>
      <c r="S243" s="35"/>
    </row>
    <row r="244" ht="15.75" customHeight="1">
      <c r="E244" s="35"/>
      <c r="K244" s="35"/>
      <c r="M244" s="35"/>
      <c r="N244" s="35"/>
      <c r="P244" s="35"/>
      <c r="S244" s="35"/>
    </row>
    <row r="245" ht="15.75" customHeight="1">
      <c r="E245" s="35"/>
      <c r="K245" s="35"/>
      <c r="M245" s="35"/>
      <c r="N245" s="35"/>
      <c r="P245" s="35"/>
      <c r="S245" s="35"/>
    </row>
    <row r="246" ht="15.75" customHeight="1">
      <c r="E246" s="35"/>
      <c r="K246" s="35"/>
      <c r="M246" s="35"/>
      <c r="N246" s="35"/>
      <c r="P246" s="35"/>
      <c r="S246" s="35"/>
    </row>
    <row r="247" ht="15.75" customHeight="1">
      <c r="E247" s="35"/>
      <c r="K247" s="35"/>
      <c r="M247" s="35"/>
      <c r="N247" s="35"/>
      <c r="P247" s="35"/>
      <c r="S247" s="35"/>
    </row>
    <row r="248" ht="15.75" customHeight="1">
      <c r="E248" s="35"/>
      <c r="K248" s="35"/>
      <c r="M248" s="35"/>
      <c r="N248" s="35"/>
      <c r="P248" s="35"/>
      <c r="S248" s="35"/>
    </row>
    <row r="249" ht="15.75" customHeight="1">
      <c r="E249" s="35"/>
      <c r="K249" s="35"/>
      <c r="M249" s="35"/>
      <c r="N249" s="35"/>
      <c r="P249" s="35"/>
      <c r="S249" s="35"/>
    </row>
    <row r="250" ht="15.75" customHeight="1">
      <c r="E250" s="35"/>
      <c r="K250" s="35"/>
      <c r="M250" s="35"/>
      <c r="N250" s="35"/>
      <c r="P250" s="35"/>
      <c r="S250" s="35"/>
    </row>
    <row r="251" ht="15.75" customHeight="1">
      <c r="E251" s="35"/>
      <c r="K251" s="35"/>
      <c r="M251" s="35"/>
      <c r="N251" s="35"/>
      <c r="P251" s="35"/>
      <c r="S251" s="35"/>
    </row>
    <row r="252" ht="15.75" customHeight="1">
      <c r="E252" s="35"/>
      <c r="K252" s="35"/>
      <c r="M252" s="35"/>
      <c r="N252" s="35"/>
      <c r="P252" s="35"/>
      <c r="S252" s="35"/>
    </row>
    <row r="253" ht="15.75" customHeight="1">
      <c r="E253" s="35"/>
      <c r="K253" s="35"/>
      <c r="M253" s="35"/>
      <c r="N253" s="35"/>
      <c r="P253" s="35"/>
      <c r="S253" s="35"/>
    </row>
    <row r="254" ht="15.75" customHeight="1">
      <c r="E254" s="35"/>
      <c r="K254" s="35"/>
      <c r="M254" s="35"/>
      <c r="N254" s="35"/>
      <c r="P254" s="35"/>
      <c r="S254" s="35"/>
    </row>
    <row r="255" ht="15.75" customHeight="1">
      <c r="E255" s="35"/>
      <c r="K255" s="35"/>
      <c r="M255" s="35"/>
      <c r="N255" s="35"/>
      <c r="P255" s="35"/>
      <c r="S255" s="35"/>
    </row>
    <row r="256" ht="15.75" customHeight="1">
      <c r="E256" s="35"/>
      <c r="K256" s="35"/>
      <c r="M256" s="35"/>
      <c r="N256" s="35"/>
      <c r="P256" s="35"/>
      <c r="S256" s="35"/>
    </row>
    <row r="257" ht="15.75" customHeight="1">
      <c r="E257" s="35"/>
      <c r="K257" s="35"/>
      <c r="M257" s="35"/>
      <c r="N257" s="35"/>
      <c r="P257" s="35"/>
      <c r="S257" s="35"/>
    </row>
    <row r="258" ht="15.75" customHeight="1">
      <c r="E258" s="35"/>
      <c r="K258" s="35"/>
      <c r="M258" s="35"/>
      <c r="N258" s="35"/>
      <c r="P258" s="35"/>
      <c r="S258" s="35"/>
    </row>
    <row r="259" ht="15.75" customHeight="1">
      <c r="E259" s="35"/>
      <c r="K259" s="35"/>
      <c r="M259" s="35"/>
      <c r="N259" s="35"/>
      <c r="P259" s="35"/>
      <c r="S259" s="35"/>
    </row>
    <row r="260" ht="15.75" customHeight="1">
      <c r="E260" s="35"/>
      <c r="K260" s="35"/>
      <c r="M260" s="35"/>
      <c r="N260" s="35"/>
      <c r="P260" s="35"/>
      <c r="S260" s="35"/>
    </row>
    <row r="261" ht="15.75" customHeight="1">
      <c r="E261" s="35"/>
      <c r="K261" s="35"/>
      <c r="M261" s="35"/>
      <c r="N261" s="35"/>
      <c r="P261" s="35"/>
      <c r="S261" s="35"/>
    </row>
    <row r="262" ht="15.75" customHeight="1">
      <c r="E262" s="35"/>
      <c r="K262" s="35"/>
      <c r="M262" s="35"/>
      <c r="N262" s="35"/>
      <c r="P262" s="35"/>
      <c r="S262" s="35"/>
    </row>
    <row r="263" ht="15.75" customHeight="1">
      <c r="E263" s="35"/>
      <c r="K263" s="35"/>
      <c r="M263" s="35"/>
      <c r="N263" s="35"/>
      <c r="P263" s="35"/>
      <c r="S263" s="35"/>
    </row>
    <row r="264" ht="15.75" customHeight="1">
      <c r="E264" s="35"/>
      <c r="K264" s="35"/>
      <c r="M264" s="35"/>
      <c r="N264" s="35"/>
      <c r="P264" s="35"/>
      <c r="S264" s="35"/>
    </row>
    <row r="265" ht="15.75" customHeight="1">
      <c r="E265" s="35"/>
      <c r="K265" s="35"/>
      <c r="M265" s="35"/>
      <c r="N265" s="35"/>
      <c r="P265" s="35"/>
      <c r="S265" s="35"/>
    </row>
    <row r="266" ht="15.75" customHeight="1">
      <c r="E266" s="35"/>
      <c r="K266" s="35"/>
      <c r="M266" s="35"/>
      <c r="N266" s="35"/>
      <c r="P266" s="35"/>
      <c r="S266" s="35"/>
    </row>
    <row r="267" ht="15.75" customHeight="1">
      <c r="E267" s="35"/>
      <c r="K267" s="35"/>
      <c r="M267" s="35"/>
      <c r="N267" s="35"/>
      <c r="P267" s="35"/>
      <c r="S267" s="35"/>
    </row>
    <row r="268" ht="15.75" customHeight="1">
      <c r="E268" s="35"/>
      <c r="K268" s="35"/>
      <c r="M268" s="35"/>
      <c r="N268" s="35"/>
      <c r="P268" s="35"/>
      <c r="S268" s="35"/>
    </row>
    <row r="269" ht="15.75" customHeight="1">
      <c r="E269" s="35"/>
      <c r="K269" s="35"/>
      <c r="M269" s="35"/>
      <c r="N269" s="35"/>
      <c r="P269" s="35"/>
      <c r="S269" s="35"/>
    </row>
    <row r="270" ht="15.75" customHeight="1">
      <c r="E270" s="35"/>
      <c r="K270" s="35"/>
      <c r="M270" s="35"/>
      <c r="N270" s="35"/>
      <c r="P270" s="35"/>
      <c r="S270" s="35"/>
    </row>
    <row r="271" ht="15.75" customHeight="1">
      <c r="E271" s="35"/>
      <c r="K271" s="35"/>
      <c r="M271" s="35"/>
      <c r="N271" s="35"/>
      <c r="P271" s="35"/>
      <c r="S271" s="35"/>
    </row>
    <row r="272" ht="15.75" customHeight="1">
      <c r="E272" s="35"/>
      <c r="K272" s="35"/>
      <c r="M272" s="35"/>
      <c r="N272" s="35"/>
      <c r="P272" s="35"/>
      <c r="S272" s="35"/>
    </row>
    <row r="273" ht="15.75" customHeight="1">
      <c r="E273" s="35"/>
      <c r="K273" s="35"/>
      <c r="M273" s="35"/>
      <c r="N273" s="35"/>
      <c r="P273" s="35"/>
      <c r="S273" s="35"/>
    </row>
    <row r="274" ht="15.75" customHeight="1">
      <c r="E274" s="35"/>
      <c r="K274" s="35"/>
      <c r="M274" s="35"/>
      <c r="N274" s="35"/>
      <c r="P274" s="35"/>
      <c r="S274" s="35"/>
    </row>
    <row r="275" ht="15.75" customHeight="1">
      <c r="E275" s="35"/>
      <c r="K275" s="35"/>
      <c r="M275" s="35"/>
      <c r="N275" s="35"/>
      <c r="P275" s="35"/>
      <c r="S275" s="35"/>
    </row>
    <row r="276" ht="15.75" customHeight="1">
      <c r="E276" s="35"/>
      <c r="K276" s="35"/>
      <c r="M276" s="35"/>
      <c r="N276" s="35"/>
      <c r="P276" s="35"/>
      <c r="S276" s="35"/>
    </row>
    <row r="277" ht="15.75" customHeight="1">
      <c r="E277" s="35"/>
      <c r="K277" s="35"/>
      <c r="M277" s="35"/>
      <c r="N277" s="35"/>
      <c r="P277" s="35"/>
      <c r="S277" s="35"/>
    </row>
    <row r="278" ht="15.75" customHeight="1">
      <c r="E278" s="35"/>
      <c r="K278" s="35"/>
      <c r="M278" s="35"/>
      <c r="N278" s="35"/>
      <c r="P278" s="35"/>
      <c r="S278" s="35"/>
    </row>
    <row r="279" ht="15.75" customHeight="1">
      <c r="E279" s="35"/>
      <c r="K279" s="35"/>
      <c r="M279" s="35"/>
      <c r="N279" s="35"/>
      <c r="P279" s="35"/>
      <c r="S279" s="35"/>
    </row>
    <row r="280" ht="15.75" customHeight="1">
      <c r="E280" s="35"/>
      <c r="K280" s="35"/>
      <c r="M280" s="35"/>
      <c r="N280" s="35"/>
      <c r="P280" s="35"/>
      <c r="S280" s="35"/>
    </row>
    <row r="281" ht="15.75" customHeight="1">
      <c r="E281" s="35"/>
      <c r="K281" s="35"/>
      <c r="M281" s="35"/>
      <c r="N281" s="35"/>
      <c r="P281" s="35"/>
      <c r="S281" s="35"/>
    </row>
    <row r="282" ht="15.75" customHeight="1">
      <c r="E282" s="35"/>
      <c r="K282" s="35"/>
      <c r="M282" s="35"/>
      <c r="N282" s="35"/>
      <c r="P282" s="35"/>
      <c r="S282" s="35"/>
    </row>
    <row r="283" ht="15.75" customHeight="1">
      <c r="E283" s="35"/>
      <c r="K283" s="35"/>
      <c r="M283" s="35"/>
      <c r="N283" s="35"/>
      <c r="P283" s="35"/>
      <c r="S283" s="35"/>
    </row>
    <row r="284" ht="15.75" customHeight="1">
      <c r="E284" s="35"/>
      <c r="K284" s="35"/>
      <c r="M284" s="35"/>
      <c r="N284" s="35"/>
      <c r="P284" s="35"/>
      <c r="S284" s="35"/>
    </row>
    <row r="285" ht="15.75" customHeight="1">
      <c r="E285" s="35"/>
      <c r="K285" s="35"/>
      <c r="M285" s="35"/>
      <c r="N285" s="35"/>
      <c r="P285" s="35"/>
      <c r="S285" s="35"/>
    </row>
    <row r="286" ht="15.75" customHeight="1">
      <c r="E286" s="35"/>
      <c r="K286" s="35"/>
      <c r="M286" s="35"/>
      <c r="N286" s="35"/>
      <c r="P286" s="35"/>
      <c r="S286" s="35"/>
    </row>
    <row r="287" ht="15.75" customHeight="1">
      <c r="E287" s="35"/>
      <c r="K287" s="35"/>
      <c r="M287" s="35"/>
      <c r="N287" s="35"/>
      <c r="P287" s="35"/>
      <c r="S287" s="35"/>
    </row>
    <row r="288" ht="15.75" customHeight="1">
      <c r="E288" s="35"/>
      <c r="K288" s="35"/>
      <c r="M288" s="35"/>
      <c r="N288" s="35"/>
      <c r="P288" s="35"/>
      <c r="S288" s="35"/>
    </row>
    <row r="289" ht="15.75" customHeight="1">
      <c r="E289" s="35"/>
      <c r="K289" s="35"/>
      <c r="M289" s="35"/>
      <c r="N289" s="35"/>
      <c r="P289" s="35"/>
      <c r="S289" s="35"/>
    </row>
    <row r="290" ht="15.75" customHeight="1">
      <c r="E290" s="35"/>
      <c r="K290" s="35"/>
      <c r="M290" s="35"/>
      <c r="N290" s="35"/>
      <c r="P290" s="35"/>
      <c r="S290" s="35"/>
    </row>
    <row r="291" ht="15.75" customHeight="1">
      <c r="E291" s="35"/>
      <c r="K291" s="35"/>
      <c r="M291" s="35"/>
      <c r="N291" s="35"/>
      <c r="P291" s="35"/>
      <c r="S291" s="35"/>
    </row>
    <row r="292" ht="15.75" customHeight="1">
      <c r="E292" s="35"/>
      <c r="K292" s="35"/>
      <c r="M292" s="35"/>
      <c r="N292" s="35"/>
      <c r="P292" s="35"/>
      <c r="S292" s="35"/>
    </row>
    <row r="293" ht="15.75" customHeight="1">
      <c r="E293" s="35"/>
      <c r="K293" s="35"/>
      <c r="M293" s="35"/>
      <c r="N293" s="35"/>
      <c r="P293" s="35"/>
      <c r="S293" s="35"/>
    </row>
    <row r="294" ht="15.75" customHeight="1">
      <c r="E294" s="35"/>
      <c r="K294" s="35"/>
      <c r="M294" s="35"/>
      <c r="N294" s="35"/>
      <c r="P294" s="35"/>
      <c r="S294" s="35"/>
    </row>
    <row r="295" ht="15.75" customHeight="1">
      <c r="E295" s="35"/>
      <c r="K295" s="35"/>
      <c r="M295" s="35"/>
      <c r="N295" s="35"/>
      <c r="P295" s="35"/>
      <c r="S295" s="35"/>
    </row>
    <row r="296" ht="15.75" customHeight="1">
      <c r="E296" s="35"/>
      <c r="K296" s="35"/>
      <c r="M296" s="35"/>
      <c r="N296" s="35"/>
      <c r="P296" s="35"/>
      <c r="S296" s="35"/>
    </row>
    <row r="297" ht="15.75" customHeight="1">
      <c r="E297" s="35"/>
      <c r="K297" s="35"/>
      <c r="M297" s="35"/>
      <c r="N297" s="35"/>
      <c r="P297" s="35"/>
      <c r="S297" s="35"/>
    </row>
    <row r="298" ht="15.75" customHeight="1">
      <c r="E298" s="35"/>
      <c r="K298" s="35"/>
      <c r="M298" s="35"/>
      <c r="N298" s="35"/>
      <c r="P298" s="35"/>
      <c r="S298" s="35"/>
    </row>
    <row r="299" ht="15.75" customHeight="1">
      <c r="E299" s="35"/>
      <c r="K299" s="35"/>
      <c r="M299" s="35"/>
      <c r="N299" s="35"/>
      <c r="P299" s="35"/>
      <c r="S299" s="35"/>
    </row>
    <row r="300" ht="15.75" customHeight="1">
      <c r="E300" s="35"/>
      <c r="K300" s="35"/>
      <c r="M300" s="35"/>
      <c r="N300" s="35"/>
      <c r="P300" s="35"/>
      <c r="S300" s="35"/>
    </row>
    <row r="301" ht="15.75" customHeight="1">
      <c r="E301" s="35"/>
      <c r="K301" s="35"/>
      <c r="M301" s="35"/>
      <c r="N301" s="35"/>
      <c r="P301" s="35"/>
      <c r="S301" s="35"/>
    </row>
    <row r="302" ht="15.75" customHeight="1">
      <c r="E302" s="35"/>
      <c r="K302" s="35"/>
      <c r="M302" s="35"/>
      <c r="N302" s="35"/>
      <c r="P302" s="35"/>
      <c r="S302" s="35"/>
    </row>
    <row r="303" ht="15.75" customHeight="1">
      <c r="E303" s="35"/>
      <c r="K303" s="35"/>
      <c r="M303" s="35"/>
      <c r="N303" s="35"/>
      <c r="P303" s="35"/>
      <c r="S303" s="35"/>
    </row>
    <row r="304" ht="15.75" customHeight="1">
      <c r="E304" s="35"/>
      <c r="K304" s="35"/>
      <c r="M304" s="35"/>
      <c r="N304" s="35"/>
      <c r="P304" s="35"/>
      <c r="S304" s="35"/>
    </row>
    <row r="305" ht="15.75" customHeight="1">
      <c r="E305" s="35"/>
      <c r="K305" s="35"/>
      <c r="M305" s="35"/>
      <c r="N305" s="35"/>
      <c r="P305" s="35"/>
      <c r="S305" s="35"/>
    </row>
    <row r="306" ht="15.75" customHeight="1">
      <c r="E306" s="35"/>
      <c r="K306" s="35"/>
      <c r="M306" s="35"/>
      <c r="N306" s="35"/>
      <c r="P306" s="35"/>
      <c r="S306" s="35"/>
    </row>
    <row r="307" ht="15.75" customHeight="1">
      <c r="E307" s="35"/>
      <c r="K307" s="35"/>
      <c r="M307" s="35"/>
      <c r="N307" s="35"/>
      <c r="P307" s="35"/>
      <c r="S307" s="35"/>
    </row>
    <row r="308" ht="15.75" customHeight="1">
      <c r="E308" s="35"/>
      <c r="K308" s="35"/>
      <c r="M308" s="35"/>
      <c r="N308" s="35"/>
      <c r="P308" s="35"/>
      <c r="S308" s="35"/>
    </row>
    <row r="309" ht="15.75" customHeight="1">
      <c r="E309" s="35"/>
      <c r="K309" s="35"/>
      <c r="M309" s="35"/>
      <c r="N309" s="35"/>
      <c r="P309" s="35"/>
      <c r="S309" s="35"/>
    </row>
    <row r="310" ht="15.75" customHeight="1">
      <c r="E310" s="35"/>
      <c r="K310" s="35"/>
      <c r="M310" s="35"/>
      <c r="N310" s="35"/>
      <c r="P310" s="35"/>
      <c r="S310" s="35"/>
    </row>
    <row r="311" ht="15.75" customHeight="1">
      <c r="E311" s="35"/>
      <c r="K311" s="35"/>
      <c r="M311" s="35"/>
      <c r="N311" s="35"/>
      <c r="P311" s="35"/>
      <c r="S311" s="35"/>
    </row>
    <row r="312" ht="15.75" customHeight="1">
      <c r="E312" s="35"/>
      <c r="K312" s="35"/>
      <c r="M312" s="35"/>
      <c r="N312" s="35"/>
      <c r="P312" s="35"/>
      <c r="S312" s="35"/>
    </row>
    <row r="313" ht="15.75" customHeight="1">
      <c r="E313" s="35"/>
      <c r="K313" s="35"/>
      <c r="M313" s="35"/>
      <c r="N313" s="35"/>
      <c r="P313" s="35"/>
      <c r="S313" s="35"/>
    </row>
    <row r="314" ht="15.75" customHeight="1">
      <c r="E314" s="35"/>
      <c r="K314" s="35"/>
      <c r="M314" s="35"/>
      <c r="N314" s="35"/>
      <c r="P314" s="35"/>
      <c r="S314" s="35"/>
    </row>
    <row r="315" ht="15.75" customHeight="1">
      <c r="E315" s="35"/>
      <c r="K315" s="35"/>
      <c r="M315" s="35"/>
      <c r="N315" s="35"/>
      <c r="P315" s="35"/>
      <c r="S315" s="35"/>
    </row>
    <row r="316" ht="15.75" customHeight="1">
      <c r="E316" s="35"/>
      <c r="K316" s="35"/>
      <c r="M316" s="35"/>
      <c r="N316" s="35"/>
      <c r="P316" s="35"/>
      <c r="S316" s="35"/>
    </row>
    <row r="317" ht="15.75" customHeight="1">
      <c r="E317" s="35"/>
      <c r="K317" s="35"/>
      <c r="M317" s="35"/>
      <c r="N317" s="35"/>
      <c r="P317" s="35"/>
      <c r="S317" s="35"/>
    </row>
    <row r="318" ht="15.75" customHeight="1">
      <c r="E318" s="35"/>
      <c r="K318" s="35"/>
      <c r="M318" s="35"/>
      <c r="N318" s="35"/>
      <c r="P318" s="35"/>
      <c r="S318" s="35"/>
    </row>
    <row r="319" ht="15.75" customHeight="1">
      <c r="E319" s="35"/>
      <c r="K319" s="35"/>
      <c r="M319" s="35"/>
      <c r="N319" s="35"/>
      <c r="P319" s="35"/>
      <c r="S319" s="35"/>
    </row>
    <row r="320" ht="15.75" customHeight="1">
      <c r="E320" s="35"/>
      <c r="K320" s="35"/>
      <c r="M320" s="35"/>
      <c r="N320" s="35"/>
      <c r="P320" s="35"/>
      <c r="S320" s="35"/>
    </row>
    <row r="321" ht="15.75" customHeight="1">
      <c r="E321" s="35"/>
      <c r="K321" s="35"/>
      <c r="M321" s="35"/>
      <c r="N321" s="35"/>
      <c r="P321" s="35"/>
      <c r="S321" s="35"/>
    </row>
    <row r="322" ht="15.75" customHeight="1">
      <c r="E322" s="35"/>
      <c r="K322" s="35"/>
      <c r="M322" s="35"/>
      <c r="N322" s="35"/>
      <c r="P322" s="35"/>
      <c r="S322" s="35"/>
    </row>
    <row r="323" ht="15.75" customHeight="1">
      <c r="E323" s="35"/>
      <c r="K323" s="35"/>
      <c r="M323" s="35"/>
      <c r="N323" s="35"/>
      <c r="P323" s="35"/>
      <c r="S323" s="35"/>
    </row>
    <row r="324" ht="15.75" customHeight="1">
      <c r="E324" s="35"/>
      <c r="K324" s="35"/>
      <c r="M324" s="35"/>
      <c r="N324" s="35"/>
      <c r="P324" s="35"/>
      <c r="S324" s="35"/>
    </row>
    <row r="325" ht="15.75" customHeight="1">
      <c r="E325" s="35"/>
      <c r="K325" s="35"/>
      <c r="M325" s="35"/>
      <c r="N325" s="35"/>
      <c r="P325" s="35"/>
      <c r="S325" s="35"/>
    </row>
    <row r="326" ht="15.75" customHeight="1">
      <c r="E326" s="35"/>
      <c r="K326" s="35"/>
      <c r="M326" s="35"/>
      <c r="N326" s="35"/>
      <c r="P326" s="35"/>
      <c r="S326" s="35"/>
    </row>
    <row r="327" ht="15.75" customHeight="1">
      <c r="E327" s="35"/>
      <c r="K327" s="35"/>
      <c r="M327" s="35"/>
      <c r="N327" s="35"/>
      <c r="P327" s="35"/>
      <c r="S327" s="35"/>
    </row>
    <row r="328" ht="15.75" customHeight="1">
      <c r="E328" s="35"/>
      <c r="K328" s="35"/>
      <c r="M328" s="35"/>
      <c r="N328" s="35"/>
      <c r="P328" s="35"/>
      <c r="S328" s="35"/>
    </row>
    <row r="329" ht="15.75" customHeight="1">
      <c r="E329" s="35"/>
      <c r="K329" s="35"/>
      <c r="M329" s="35"/>
      <c r="N329" s="35"/>
      <c r="P329" s="35"/>
      <c r="S329" s="35"/>
    </row>
    <row r="330" ht="15.75" customHeight="1">
      <c r="E330" s="35"/>
      <c r="K330" s="35"/>
      <c r="M330" s="35"/>
      <c r="N330" s="35"/>
      <c r="P330" s="35"/>
      <c r="S330" s="35"/>
    </row>
    <row r="331" ht="15.75" customHeight="1">
      <c r="E331" s="35"/>
      <c r="K331" s="35"/>
      <c r="M331" s="35"/>
      <c r="N331" s="35"/>
      <c r="P331" s="35"/>
      <c r="S331" s="35"/>
    </row>
    <row r="332" ht="15.75" customHeight="1">
      <c r="E332" s="35"/>
      <c r="K332" s="35"/>
      <c r="M332" s="35"/>
      <c r="N332" s="35"/>
      <c r="P332" s="35"/>
      <c r="S332" s="35"/>
    </row>
    <row r="333" ht="15.75" customHeight="1">
      <c r="E333" s="35"/>
      <c r="K333" s="35"/>
      <c r="M333" s="35"/>
      <c r="N333" s="35"/>
      <c r="P333" s="35"/>
      <c r="S333" s="35"/>
    </row>
    <row r="334" ht="15.75" customHeight="1">
      <c r="E334" s="35"/>
      <c r="K334" s="35"/>
      <c r="M334" s="35"/>
      <c r="N334" s="35"/>
      <c r="P334" s="35"/>
      <c r="S334" s="35"/>
    </row>
    <row r="335" ht="15.75" customHeight="1">
      <c r="E335" s="35"/>
      <c r="K335" s="35"/>
      <c r="M335" s="35"/>
      <c r="N335" s="35"/>
      <c r="P335" s="35"/>
      <c r="S335" s="35"/>
    </row>
    <row r="336" ht="15.75" customHeight="1">
      <c r="E336" s="35"/>
      <c r="K336" s="35"/>
      <c r="M336" s="35"/>
      <c r="N336" s="35"/>
      <c r="P336" s="35"/>
      <c r="S336" s="35"/>
    </row>
    <row r="337" ht="15.75" customHeight="1">
      <c r="E337" s="35"/>
      <c r="K337" s="35"/>
      <c r="M337" s="35"/>
      <c r="N337" s="35"/>
      <c r="P337" s="35"/>
      <c r="S337" s="35"/>
    </row>
    <row r="338" ht="15.75" customHeight="1">
      <c r="E338" s="35"/>
      <c r="K338" s="35"/>
      <c r="M338" s="35"/>
      <c r="N338" s="35"/>
      <c r="P338" s="35"/>
      <c r="S338" s="35"/>
    </row>
    <row r="339" ht="15.75" customHeight="1">
      <c r="E339" s="35"/>
      <c r="K339" s="35"/>
      <c r="M339" s="35"/>
      <c r="N339" s="35"/>
      <c r="P339" s="35"/>
      <c r="S339" s="35"/>
    </row>
    <row r="340" ht="15.75" customHeight="1">
      <c r="E340" s="35"/>
      <c r="K340" s="35"/>
      <c r="M340" s="35"/>
      <c r="N340" s="35"/>
      <c r="P340" s="35"/>
      <c r="S340" s="35"/>
    </row>
    <row r="341" ht="15.75" customHeight="1">
      <c r="E341" s="35"/>
      <c r="K341" s="35"/>
      <c r="M341" s="35"/>
      <c r="N341" s="35"/>
      <c r="P341" s="35"/>
      <c r="S341" s="35"/>
    </row>
    <row r="342" ht="15.75" customHeight="1">
      <c r="E342" s="35"/>
      <c r="K342" s="35"/>
      <c r="M342" s="35"/>
      <c r="N342" s="35"/>
      <c r="P342" s="35"/>
      <c r="S342" s="35"/>
    </row>
    <row r="343" ht="15.75" customHeight="1">
      <c r="E343" s="35"/>
      <c r="K343" s="35"/>
      <c r="M343" s="35"/>
      <c r="N343" s="35"/>
      <c r="P343" s="35"/>
      <c r="S343" s="35"/>
    </row>
    <row r="344" ht="15.75" customHeight="1">
      <c r="E344" s="35"/>
      <c r="K344" s="35"/>
      <c r="M344" s="35"/>
      <c r="N344" s="35"/>
      <c r="P344" s="35"/>
      <c r="S344" s="35"/>
    </row>
    <row r="345" ht="15.75" customHeight="1">
      <c r="E345" s="35"/>
      <c r="K345" s="35"/>
      <c r="M345" s="35"/>
      <c r="N345" s="35"/>
      <c r="P345" s="35"/>
      <c r="S345" s="35"/>
    </row>
    <row r="346" ht="15.75" customHeight="1">
      <c r="E346" s="35"/>
      <c r="K346" s="35"/>
      <c r="M346" s="35"/>
      <c r="N346" s="35"/>
      <c r="P346" s="35"/>
      <c r="S346" s="35"/>
    </row>
    <row r="347" ht="15.75" customHeight="1">
      <c r="E347" s="35"/>
      <c r="K347" s="35"/>
      <c r="M347" s="35"/>
      <c r="N347" s="35"/>
      <c r="P347" s="35"/>
      <c r="S347" s="35"/>
    </row>
    <row r="348" ht="15.75" customHeight="1">
      <c r="E348" s="35"/>
      <c r="K348" s="35"/>
      <c r="M348" s="35"/>
      <c r="N348" s="35"/>
      <c r="P348" s="35"/>
      <c r="S348" s="35"/>
    </row>
    <row r="349" ht="15.75" customHeight="1">
      <c r="E349" s="35"/>
      <c r="K349" s="35"/>
      <c r="M349" s="35"/>
      <c r="N349" s="35"/>
      <c r="P349" s="35"/>
      <c r="S349" s="35"/>
    </row>
    <row r="350" ht="15.75" customHeight="1">
      <c r="E350" s="35"/>
      <c r="K350" s="35"/>
      <c r="M350" s="35"/>
      <c r="N350" s="35"/>
      <c r="P350" s="35"/>
      <c r="S350" s="35"/>
    </row>
    <row r="351" ht="15.75" customHeight="1">
      <c r="E351" s="35"/>
      <c r="K351" s="35"/>
      <c r="M351" s="35"/>
      <c r="N351" s="35"/>
      <c r="P351" s="35"/>
      <c r="S351" s="35"/>
    </row>
    <row r="352" ht="15.75" customHeight="1">
      <c r="E352" s="35"/>
      <c r="K352" s="35"/>
      <c r="M352" s="35"/>
      <c r="N352" s="35"/>
      <c r="P352" s="35"/>
      <c r="S352" s="35"/>
    </row>
    <row r="353" ht="15.75" customHeight="1">
      <c r="E353" s="35"/>
      <c r="K353" s="35"/>
      <c r="M353" s="35"/>
      <c r="N353" s="35"/>
      <c r="P353" s="35"/>
      <c r="S353" s="35"/>
    </row>
    <row r="354" ht="15.75" customHeight="1">
      <c r="E354" s="35"/>
      <c r="K354" s="35"/>
      <c r="M354" s="35"/>
      <c r="N354" s="35"/>
      <c r="P354" s="35"/>
      <c r="S354" s="35"/>
    </row>
    <row r="355" ht="15.75" customHeight="1">
      <c r="E355" s="35"/>
      <c r="K355" s="35"/>
      <c r="M355" s="35"/>
      <c r="N355" s="35"/>
      <c r="P355" s="35"/>
      <c r="S355" s="35"/>
    </row>
    <row r="356" ht="15.75" customHeight="1">
      <c r="E356" s="35"/>
      <c r="K356" s="35"/>
      <c r="M356" s="35"/>
      <c r="N356" s="35"/>
      <c r="P356" s="35"/>
      <c r="S356" s="35"/>
    </row>
    <row r="357" ht="15.75" customHeight="1">
      <c r="E357" s="35"/>
      <c r="K357" s="35"/>
      <c r="M357" s="35"/>
      <c r="N357" s="35"/>
      <c r="P357" s="35"/>
      <c r="S357" s="35"/>
    </row>
    <row r="358" ht="15.75" customHeight="1">
      <c r="E358" s="35"/>
      <c r="K358" s="35"/>
      <c r="M358" s="35"/>
      <c r="N358" s="35"/>
      <c r="P358" s="35"/>
      <c r="S358" s="35"/>
    </row>
    <row r="359" ht="15.75" customHeight="1">
      <c r="E359" s="35"/>
      <c r="K359" s="35"/>
      <c r="M359" s="35"/>
      <c r="N359" s="35"/>
      <c r="P359" s="35"/>
      <c r="S359" s="35"/>
    </row>
    <row r="360" ht="15.75" customHeight="1">
      <c r="E360" s="35"/>
      <c r="K360" s="35"/>
      <c r="M360" s="35"/>
      <c r="N360" s="35"/>
      <c r="P360" s="35"/>
      <c r="S360" s="35"/>
    </row>
    <row r="361" ht="15.75" customHeight="1">
      <c r="E361" s="35"/>
      <c r="K361" s="35"/>
      <c r="M361" s="35"/>
      <c r="N361" s="35"/>
      <c r="P361" s="35"/>
      <c r="S361" s="35"/>
    </row>
    <row r="362" ht="15.75" customHeight="1">
      <c r="E362" s="35"/>
      <c r="K362" s="35"/>
      <c r="M362" s="35"/>
      <c r="N362" s="35"/>
      <c r="P362" s="35"/>
      <c r="S362" s="35"/>
    </row>
    <row r="363" ht="15.75" customHeight="1">
      <c r="E363" s="35"/>
      <c r="K363" s="35"/>
      <c r="M363" s="35"/>
      <c r="N363" s="35"/>
      <c r="P363" s="35"/>
      <c r="S363" s="35"/>
    </row>
    <row r="364" ht="15.75" customHeight="1">
      <c r="E364" s="35"/>
      <c r="K364" s="35"/>
      <c r="M364" s="35"/>
      <c r="N364" s="35"/>
      <c r="P364" s="35"/>
      <c r="S364" s="35"/>
    </row>
    <row r="365" ht="15.75" customHeight="1">
      <c r="E365" s="35"/>
      <c r="K365" s="35"/>
      <c r="M365" s="35"/>
      <c r="N365" s="35"/>
      <c r="P365" s="35"/>
      <c r="S365" s="35"/>
    </row>
    <row r="366" ht="15.75" customHeight="1">
      <c r="E366" s="35"/>
      <c r="K366" s="35"/>
      <c r="M366" s="35"/>
      <c r="N366" s="35"/>
      <c r="P366" s="35"/>
      <c r="S366" s="35"/>
    </row>
    <row r="367" ht="15.75" customHeight="1">
      <c r="E367" s="35"/>
      <c r="K367" s="35"/>
      <c r="M367" s="35"/>
      <c r="N367" s="35"/>
      <c r="P367" s="35"/>
      <c r="S367" s="35"/>
    </row>
    <row r="368" ht="15.75" customHeight="1">
      <c r="E368" s="35"/>
      <c r="K368" s="35"/>
      <c r="M368" s="35"/>
      <c r="N368" s="35"/>
      <c r="P368" s="35"/>
      <c r="S368" s="35"/>
    </row>
    <row r="369" ht="15.75" customHeight="1">
      <c r="E369" s="35"/>
      <c r="K369" s="35"/>
      <c r="M369" s="35"/>
      <c r="N369" s="35"/>
      <c r="P369" s="35"/>
      <c r="S369" s="35"/>
    </row>
    <row r="370" ht="15.75" customHeight="1">
      <c r="E370" s="35"/>
      <c r="K370" s="35"/>
      <c r="M370" s="35"/>
      <c r="N370" s="35"/>
      <c r="P370" s="35"/>
      <c r="S370" s="35"/>
    </row>
    <row r="371" ht="15.75" customHeight="1">
      <c r="E371" s="35"/>
      <c r="K371" s="35"/>
      <c r="M371" s="35"/>
      <c r="N371" s="35"/>
      <c r="P371" s="35"/>
      <c r="S371" s="35"/>
    </row>
    <row r="372" ht="15.75" customHeight="1">
      <c r="E372" s="35"/>
      <c r="K372" s="35"/>
      <c r="M372" s="35"/>
      <c r="N372" s="35"/>
      <c r="P372" s="35"/>
      <c r="S372" s="35"/>
    </row>
    <row r="373" ht="15.75" customHeight="1">
      <c r="E373" s="35"/>
      <c r="K373" s="35"/>
      <c r="M373" s="35"/>
      <c r="N373" s="35"/>
      <c r="P373" s="35"/>
      <c r="S373" s="35"/>
    </row>
    <row r="374" ht="15.75" customHeight="1">
      <c r="E374" s="35"/>
      <c r="K374" s="35"/>
      <c r="M374" s="35"/>
      <c r="N374" s="35"/>
      <c r="P374" s="35"/>
      <c r="S374" s="35"/>
    </row>
    <row r="375" ht="15.75" customHeight="1">
      <c r="E375" s="35"/>
      <c r="K375" s="35"/>
      <c r="M375" s="35"/>
      <c r="N375" s="35"/>
      <c r="P375" s="35"/>
      <c r="S375" s="35"/>
    </row>
    <row r="376" ht="15.75" customHeight="1">
      <c r="E376" s="35"/>
      <c r="K376" s="35"/>
      <c r="M376" s="35"/>
      <c r="N376" s="35"/>
      <c r="P376" s="35"/>
      <c r="S376" s="35"/>
    </row>
    <row r="377" ht="15.75" customHeight="1">
      <c r="E377" s="35"/>
      <c r="K377" s="35"/>
      <c r="M377" s="35"/>
      <c r="N377" s="35"/>
      <c r="P377" s="35"/>
      <c r="S377" s="35"/>
    </row>
    <row r="378" ht="15.75" customHeight="1">
      <c r="E378" s="35"/>
      <c r="K378" s="35"/>
      <c r="M378" s="35"/>
      <c r="N378" s="35"/>
      <c r="P378" s="35"/>
      <c r="S378" s="35"/>
    </row>
    <row r="379" ht="15.75" customHeight="1">
      <c r="E379" s="35"/>
      <c r="K379" s="35"/>
      <c r="M379" s="35"/>
      <c r="N379" s="35"/>
      <c r="P379" s="35"/>
      <c r="S379" s="35"/>
    </row>
    <row r="380" ht="15.75" customHeight="1">
      <c r="E380" s="35"/>
      <c r="K380" s="35"/>
      <c r="M380" s="35"/>
      <c r="N380" s="35"/>
      <c r="P380" s="35"/>
      <c r="S380" s="35"/>
    </row>
    <row r="381" ht="15.75" customHeight="1">
      <c r="E381" s="35"/>
      <c r="K381" s="35"/>
      <c r="M381" s="35"/>
      <c r="N381" s="35"/>
      <c r="P381" s="35"/>
      <c r="S381" s="35"/>
    </row>
    <row r="382" ht="15.75" customHeight="1">
      <c r="E382" s="35"/>
      <c r="K382" s="35"/>
      <c r="M382" s="35"/>
      <c r="N382" s="35"/>
      <c r="P382" s="35"/>
      <c r="S382" s="35"/>
    </row>
    <row r="383" ht="15.75" customHeight="1">
      <c r="E383" s="35"/>
      <c r="K383" s="35"/>
      <c r="M383" s="35"/>
      <c r="N383" s="35"/>
      <c r="P383" s="35"/>
      <c r="S383" s="35"/>
    </row>
    <row r="384" ht="15.75" customHeight="1">
      <c r="E384" s="35"/>
      <c r="K384" s="35"/>
      <c r="M384" s="35"/>
      <c r="N384" s="35"/>
      <c r="P384" s="35"/>
      <c r="S384" s="35"/>
    </row>
    <row r="385" ht="15.75" customHeight="1">
      <c r="E385" s="35"/>
      <c r="K385" s="35"/>
      <c r="M385" s="35"/>
      <c r="N385" s="35"/>
      <c r="P385" s="35"/>
      <c r="S385" s="35"/>
    </row>
    <row r="386" ht="15.75" customHeight="1">
      <c r="E386" s="35"/>
      <c r="K386" s="35"/>
      <c r="M386" s="35"/>
      <c r="N386" s="35"/>
      <c r="P386" s="35"/>
      <c r="S386" s="35"/>
    </row>
    <row r="387" ht="15.75" customHeight="1">
      <c r="E387" s="35"/>
      <c r="K387" s="35"/>
      <c r="M387" s="35"/>
      <c r="N387" s="35"/>
      <c r="P387" s="35"/>
      <c r="S387" s="35"/>
    </row>
    <row r="388" ht="15.75" customHeight="1">
      <c r="E388" s="35"/>
      <c r="K388" s="35"/>
      <c r="M388" s="35"/>
      <c r="N388" s="35"/>
      <c r="P388" s="35"/>
      <c r="S388" s="35"/>
    </row>
    <row r="389" ht="15.75" customHeight="1">
      <c r="E389" s="35"/>
      <c r="K389" s="35"/>
      <c r="M389" s="35"/>
      <c r="N389" s="35"/>
      <c r="P389" s="35"/>
      <c r="S389" s="35"/>
    </row>
    <row r="390" ht="15.75" customHeight="1">
      <c r="E390" s="35"/>
      <c r="K390" s="35"/>
      <c r="M390" s="35"/>
      <c r="N390" s="35"/>
      <c r="P390" s="35"/>
      <c r="S390" s="35"/>
    </row>
    <row r="391" ht="15.75" customHeight="1">
      <c r="E391" s="35"/>
      <c r="K391" s="35"/>
      <c r="M391" s="35"/>
      <c r="N391" s="35"/>
      <c r="P391" s="35"/>
      <c r="S391" s="35"/>
    </row>
    <row r="392" ht="15.75" customHeight="1">
      <c r="E392" s="35"/>
      <c r="K392" s="35"/>
      <c r="M392" s="35"/>
      <c r="N392" s="35"/>
      <c r="P392" s="35"/>
      <c r="S392" s="35"/>
    </row>
    <row r="393" ht="15.75" customHeight="1">
      <c r="E393" s="35"/>
      <c r="K393" s="35"/>
      <c r="M393" s="35"/>
      <c r="N393" s="35"/>
      <c r="P393" s="35"/>
      <c r="S393" s="35"/>
    </row>
    <row r="394" ht="15.75" customHeight="1">
      <c r="E394" s="35"/>
      <c r="K394" s="35"/>
      <c r="M394" s="35"/>
      <c r="N394" s="35"/>
      <c r="P394" s="35"/>
      <c r="S394" s="35"/>
    </row>
    <row r="395" ht="15.75" customHeight="1">
      <c r="E395" s="35"/>
      <c r="K395" s="35"/>
      <c r="M395" s="35"/>
      <c r="N395" s="35"/>
      <c r="P395" s="35"/>
      <c r="S395" s="35"/>
    </row>
    <row r="396" ht="15.75" customHeight="1">
      <c r="E396" s="35"/>
      <c r="K396" s="35"/>
      <c r="M396" s="35"/>
      <c r="N396" s="35"/>
      <c r="P396" s="35"/>
      <c r="S396" s="35"/>
    </row>
    <row r="397" ht="15.75" customHeight="1">
      <c r="E397" s="35"/>
      <c r="K397" s="35"/>
      <c r="M397" s="35"/>
      <c r="N397" s="35"/>
      <c r="P397" s="35"/>
      <c r="S397" s="35"/>
    </row>
    <row r="398" ht="15.75" customHeight="1">
      <c r="E398" s="35"/>
      <c r="K398" s="35"/>
      <c r="M398" s="35"/>
      <c r="N398" s="35"/>
      <c r="P398" s="35"/>
      <c r="S398" s="35"/>
    </row>
    <row r="399" ht="15.75" customHeight="1">
      <c r="E399" s="35"/>
      <c r="K399" s="35"/>
      <c r="M399" s="35"/>
      <c r="N399" s="35"/>
      <c r="P399" s="35"/>
      <c r="S399" s="35"/>
    </row>
    <row r="400" ht="15.75" customHeight="1">
      <c r="E400" s="35"/>
      <c r="K400" s="35"/>
      <c r="M400" s="35"/>
      <c r="N400" s="35"/>
      <c r="P400" s="35"/>
      <c r="S400" s="35"/>
    </row>
    <row r="401" ht="15.75" customHeight="1">
      <c r="E401" s="35"/>
      <c r="K401" s="35"/>
      <c r="M401" s="35"/>
      <c r="N401" s="35"/>
      <c r="P401" s="35"/>
      <c r="S401" s="35"/>
    </row>
    <row r="402" ht="15.75" customHeight="1">
      <c r="E402" s="35"/>
      <c r="K402" s="35"/>
      <c r="M402" s="35"/>
      <c r="N402" s="35"/>
      <c r="P402" s="35"/>
      <c r="S402" s="35"/>
    </row>
    <row r="403" ht="15.75" customHeight="1">
      <c r="E403" s="35"/>
      <c r="K403" s="35"/>
      <c r="M403" s="35"/>
      <c r="N403" s="35"/>
      <c r="P403" s="35"/>
      <c r="S403" s="35"/>
    </row>
    <row r="404" ht="15.75" customHeight="1">
      <c r="E404" s="35"/>
      <c r="K404" s="35"/>
      <c r="M404" s="35"/>
      <c r="N404" s="35"/>
      <c r="P404" s="35"/>
      <c r="S404" s="35"/>
    </row>
    <row r="405" ht="15.75" customHeight="1">
      <c r="E405" s="35"/>
      <c r="K405" s="35"/>
      <c r="M405" s="35"/>
      <c r="N405" s="35"/>
      <c r="P405" s="35"/>
      <c r="S405" s="35"/>
    </row>
    <row r="406" ht="15.75" customHeight="1">
      <c r="E406" s="35"/>
      <c r="K406" s="35"/>
      <c r="M406" s="35"/>
      <c r="N406" s="35"/>
      <c r="P406" s="35"/>
      <c r="S406" s="35"/>
    </row>
    <row r="407" ht="15.75" customHeight="1">
      <c r="E407" s="35"/>
      <c r="K407" s="35"/>
      <c r="M407" s="35"/>
      <c r="N407" s="35"/>
      <c r="P407" s="35"/>
      <c r="S407" s="35"/>
    </row>
    <row r="408" ht="15.75" customHeight="1">
      <c r="E408" s="35"/>
      <c r="K408" s="35"/>
      <c r="M408" s="35"/>
      <c r="N408" s="35"/>
      <c r="P408" s="35"/>
      <c r="S408" s="35"/>
    </row>
    <row r="409" ht="15.75" customHeight="1">
      <c r="E409" s="35"/>
      <c r="K409" s="35"/>
      <c r="M409" s="35"/>
      <c r="N409" s="35"/>
      <c r="P409" s="35"/>
      <c r="S409" s="35"/>
    </row>
    <row r="410" ht="15.75" customHeight="1">
      <c r="E410" s="35"/>
      <c r="K410" s="35"/>
      <c r="M410" s="35"/>
      <c r="N410" s="35"/>
      <c r="P410" s="35"/>
      <c r="S410" s="35"/>
    </row>
    <row r="411" ht="15.75" customHeight="1">
      <c r="E411" s="35"/>
      <c r="K411" s="35"/>
      <c r="M411" s="35"/>
      <c r="N411" s="35"/>
      <c r="P411" s="35"/>
      <c r="S411" s="35"/>
    </row>
    <row r="412" ht="15.75" customHeight="1">
      <c r="E412" s="35"/>
      <c r="K412" s="35"/>
      <c r="M412" s="35"/>
      <c r="N412" s="35"/>
      <c r="P412" s="35"/>
      <c r="S412" s="35"/>
    </row>
    <row r="413" ht="15.75" customHeight="1">
      <c r="E413" s="35"/>
      <c r="K413" s="35"/>
      <c r="M413" s="35"/>
      <c r="N413" s="35"/>
      <c r="P413" s="35"/>
      <c r="S413" s="35"/>
    </row>
    <row r="414" ht="15.75" customHeight="1">
      <c r="E414" s="35"/>
      <c r="K414" s="35"/>
      <c r="M414" s="35"/>
      <c r="N414" s="35"/>
      <c r="P414" s="35"/>
      <c r="S414" s="35"/>
    </row>
    <row r="415" ht="15.75" customHeight="1">
      <c r="E415" s="35"/>
      <c r="K415" s="35"/>
      <c r="M415" s="35"/>
      <c r="N415" s="35"/>
      <c r="P415" s="35"/>
      <c r="S415" s="35"/>
    </row>
    <row r="416" ht="15.75" customHeight="1">
      <c r="E416" s="35"/>
      <c r="K416" s="35"/>
      <c r="M416" s="35"/>
      <c r="N416" s="35"/>
      <c r="P416" s="35"/>
      <c r="S416" s="35"/>
    </row>
    <row r="417" ht="15.75" customHeight="1">
      <c r="E417" s="35"/>
      <c r="K417" s="35"/>
      <c r="M417" s="35"/>
      <c r="N417" s="35"/>
      <c r="P417" s="35"/>
      <c r="S417" s="35"/>
    </row>
    <row r="418" ht="15.75" customHeight="1">
      <c r="E418" s="35"/>
      <c r="K418" s="35"/>
      <c r="M418" s="35"/>
      <c r="N418" s="35"/>
      <c r="P418" s="35"/>
      <c r="S418" s="35"/>
    </row>
    <row r="419" ht="15.75" customHeight="1">
      <c r="E419" s="35"/>
      <c r="K419" s="35"/>
      <c r="M419" s="35"/>
      <c r="N419" s="35"/>
      <c r="P419" s="35"/>
      <c r="S419" s="35"/>
    </row>
    <row r="420" ht="15.75" customHeight="1">
      <c r="E420" s="35"/>
      <c r="K420" s="35"/>
      <c r="M420" s="35"/>
      <c r="N420" s="35"/>
      <c r="P420" s="35"/>
      <c r="S420" s="35"/>
    </row>
    <row r="421" ht="15.75" customHeight="1">
      <c r="E421" s="35"/>
      <c r="K421" s="35"/>
      <c r="M421" s="35"/>
      <c r="N421" s="35"/>
      <c r="P421" s="35"/>
      <c r="S421" s="35"/>
    </row>
    <row r="422" ht="15.75" customHeight="1">
      <c r="E422" s="35"/>
      <c r="K422" s="35"/>
      <c r="M422" s="35"/>
      <c r="N422" s="35"/>
      <c r="P422" s="35"/>
      <c r="S422" s="35"/>
    </row>
    <row r="423" ht="15.75" customHeight="1">
      <c r="E423" s="35"/>
      <c r="K423" s="35"/>
      <c r="M423" s="35"/>
      <c r="N423" s="35"/>
      <c r="P423" s="35"/>
      <c r="S423" s="35"/>
    </row>
    <row r="424" ht="15.75" customHeight="1">
      <c r="E424" s="35"/>
      <c r="K424" s="35"/>
      <c r="M424" s="35"/>
      <c r="N424" s="35"/>
      <c r="P424" s="35"/>
      <c r="S424" s="35"/>
    </row>
    <row r="425" ht="15.75" customHeight="1">
      <c r="E425" s="35"/>
      <c r="K425" s="35"/>
      <c r="M425" s="35"/>
      <c r="N425" s="35"/>
      <c r="P425" s="35"/>
      <c r="S425" s="35"/>
    </row>
    <row r="426" ht="15.75" customHeight="1">
      <c r="E426" s="35"/>
      <c r="K426" s="35"/>
      <c r="M426" s="35"/>
      <c r="N426" s="35"/>
      <c r="P426" s="35"/>
      <c r="S426" s="35"/>
    </row>
    <row r="427" ht="15.75" customHeight="1">
      <c r="E427" s="35"/>
      <c r="K427" s="35"/>
      <c r="M427" s="35"/>
      <c r="N427" s="35"/>
      <c r="P427" s="35"/>
      <c r="S427" s="35"/>
    </row>
    <row r="428" ht="15.75" customHeight="1">
      <c r="E428" s="35"/>
      <c r="K428" s="35"/>
      <c r="M428" s="35"/>
      <c r="N428" s="35"/>
      <c r="P428" s="35"/>
      <c r="S428" s="35"/>
    </row>
    <row r="429" ht="15.75" customHeight="1">
      <c r="E429" s="35"/>
      <c r="K429" s="35"/>
      <c r="M429" s="35"/>
      <c r="N429" s="35"/>
      <c r="P429" s="35"/>
      <c r="S429" s="35"/>
    </row>
    <row r="430" ht="15.75" customHeight="1">
      <c r="E430" s="35"/>
      <c r="K430" s="35"/>
      <c r="M430" s="35"/>
      <c r="N430" s="35"/>
      <c r="P430" s="35"/>
      <c r="S430" s="35"/>
    </row>
    <row r="431" ht="15.75" customHeight="1">
      <c r="E431" s="35"/>
      <c r="K431" s="35"/>
      <c r="M431" s="35"/>
      <c r="N431" s="35"/>
      <c r="P431" s="35"/>
      <c r="S431" s="35"/>
    </row>
    <row r="432" ht="15.75" customHeight="1">
      <c r="E432" s="35"/>
      <c r="K432" s="35"/>
      <c r="M432" s="35"/>
      <c r="N432" s="35"/>
      <c r="P432" s="35"/>
      <c r="S432" s="35"/>
    </row>
    <row r="433" ht="15.75" customHeight="1">
      <c r="E433" s="35"/>
      <c r="K433" s="35"/>
      <c r="M433" s="35"/>
      <c r="N433" s="35"/>
      <c r="P433" s="35"/>
      <c r="S433" s="35"/>
    </row>
    <row r="434" ht="15.75" customHeight="1">
      <c r="E434" s="35"/>
      <c r="K434" s="35"/>
      <c r="M434" s="35"/>
      <c r="N434" s="35"/>
      <c r="P434" s="35"/>
      <c r="S434" s="35"/>
    </row>
    <row r="435" ht="15.75" customHeight="1">
      <c r="E435" s="35"/>
      <c r="K435" s="35"/>
      <c r="M435" s="35"/>
      <c r="N435" s="35"/>
      <c r="P435" s="35"/>
      <c r="S435" s="35"/>
    </row>
    <row r="436" ht="15.75" customHeight="1">
      <c r="E436" s="35"/>
      <c r="K436" s="35"/>
      <c r="M436" s="35"/>
      <c r="N436" s="35"/>
      <c r="P436" s="35"/>
      <c r="S436" s="35"/>
    </row>
    <row r="437" ht="15.75" customHeight="1">
      <c r="E437" s="35"/>
      <c r="K437" s="35"/>
      <c r="M437" s="35"/>
      <c r="N437" s="35"/>
      <c r="P437" s="35"/>
      <c r="S437" s="35"/>
    </row>
    <row r="438" ht="15.75" customHeight="1">
      <c r="E438" s="35"/>
      <c r="K438" s="35"/>
      <c r="M438" s="35"/>
      <c r="N438" s="35"/>
      <c r="P438" s="35"/>
      <c r="S438" s="35"/>
    </row>
    <row r="439" ht="15.75" customHeight="1">
      <c r="E439" s="35"/>
      <c r="K439" s="35"/>
      <c r="M439" s="35"/>
      <c r="N439" s="35"/>
      <c r="P439" s="35"/>
      <c r="S439" s="35"/>
    </row>
    <row r="440" ht="15.75" customHeight="1">
      <c r="E440" s="35"/>
      <c r="K440" s="35"/>
      <c r="M440" s="35"/>
      <c r="N440" s="35"/>
      <c r="P440" s="35"/>
      <c r="S440" s="35"/>
    </row>
    <row r="441" ht="15.75" customHeight="1">
      <c r="E441" s="35"/>
      <c r="K441" s="35"/>
      <c r="M441" s="35"/>
      <c r="N441" s="35"/>
      <c r="P441" s="35"/>
      <c r="S441" s="35"/>
    </row>
    <row r="442" ht="15.75" customHeight="1">
      <c r="E442" s="35"/>
      <c r="K442" s="35"/>
      <c r="M442" s="35"/>
      <c r="N442" s="35"/>
      <c r="P442" s="35"/>
      <c r="S442" s="35"/>
    </row>
    <row r="443" ht="15.75" customHeight="1">
      <c r="E443" s="35"/>
      <c r="K443" s="35"/>
      <c r="M443" s="35"/>
      <c r="N443" s="35"/>
      <c r="P443" s="35"/>
      <c r="S443" s="35"/>
    </row>
    <row r="444" ht="15.75" customHeight="1">
      <c r="E444" s="35"/>
      <c r="K444" s="35"/>
      <c r="M444" s="35"/>
      <c r="N444" s="35"/>
      <c r="P444" s="35"/>
      <c r="S444" s="35"/>
    </row>
    <row r="445" ht="15.75" customHeight="1">
      <c r="E445" s="35"/>
      <c r="K445" s="35"/>
      <c r="M445" s="35"/>
      <c r="N445" s="35"/>
      <c r="P445" s="35"/>
      <c r="S445" s="35"/>
    </row>
    <row r="446" ht="15.75" customHeight="1">
      <c r="E446" s="35"/>
      <c r="K446" s="35"/>
      <c r="M446" s="35"/>
      <c r="N446" s="35"/>
      <c r="P446" s="35"/>
      <c r="S446" s="35"/>
    </row>
    <row r="447" ht="15.75" customHeight="1">
      <c r="E447" s="35"/>
      <c r="K447" s="35"/>
      <c r="M447" s="35"/>
      <c r="N447" s="35"/>
      <c r="P447" s="35"/>
      <c r="S447" s="35"/>
    </row>
    <row r="448" ht="15.75" customHeight="1">
      <c r="E448" s="35"/>
      <c r="K448" s="35"/>
      <c r="M448" s="35"/>
      <c r="N448" s="35"/>
      <c r="P448" s="35"/>
      <c r="S448" s="35"/>
    </row>
    <row r="449" ht="15.75" customHeight="1">
      <c r="E449" s="35"/>
      <c r="K449" s="35"/>
      <c r="M449" s="35"/>
      <c r="N449" s="35"/>
      <c r="P449" s="35"/>
      <c r="S449" s="35"/>
    </row>
    <row r="450" ht="15.75" customHeight="1">
      <c r="E450" s="35"/>
      <c r="K450" s="35"/>
      <c r="M450" s="35"/>
      <c r="N450" s="35"/>
      <c r="P450" s="35"/>
      <c r="S450" s="35"/>
    </row>
    <row r="451" ht="15.75" customHeight="1">
      <c r="E451" s="35"/>
      <c r="K451" s="35"/>
      <c r="M451" s="35"/>
      <c r="N451" s="35"/>
      <c r="P451" s="35"/>
      <c r="S451" s="35"/>
    </row>
    <row r="452" ht="15.75" customHeight="1">
      <c r="E452" s="35"/>
      <c r="K452" s="35"/>
      <c r="M452" s="35"/>
      <c r="N452" s="35"/>
      <c r="P452" s="35"/>
      <c r="S452" s="35"/>
    </row>
    <row r="453" ht="15.75" customHeight="1">
      <c r="E453" s="35"/>
      <c r="K453" s="35"/>
      <c r="M453" s="35"/>
      <c r="N453" s="35"/>
      <c r="P453" s="35"/>
      <c r="S453" s="35"/>
    </row>
    <row r="454" ht="15.75" customHeight="1">
      <c r="E454" s="35"/>
      <c r="K454" s="35"/>
      <c r="M454" s="35"/>
      <c r="N454" s="35"/>
      <c r="P454" s="35"/>
      <c r="S454" s="35"/>
    </row>
    <row r="455" ht="15.75" customHeight="1">
      <c r="E455" s="35"/>
      <c r="K455" s="35"/>
      <c r="M455" s="35"/>
      <c r="N455" s="35"/>
      <c r="P455" s="35"/>
      <c r="S455" s="35"/>
    </row>
    <row r="456" ht="15.75" customHeight="1">
      <c r="E456" s="35"/>
      <c r="K456" s="35"/>
      <c r="M456" s="35"/>
      <c r="N456" s="35"/>
      <c r="P456" s="35"/>
      <c r="S456" s="35"/>
    </row>
    <row r="457" ht="15.75" customHeight="1">
      <c r="E457" s="35"/>
      <c r="K457" s="35"/>
      <c r="M457" s="35"/>
      <c r="N457" s="35"/>
      <c r="P457" s="35"/>
      <c r="S457" s="35"/>
    </row>
    <row r="458" ht="15.75" customHeight="1">
      <c r="E458" s="35"/>
      <c r="K458" s="35"/>
      <c r="M458" s="35"/>
      <c r="N458" s="35"/>
      <c r="P458" s="35"/>
      <c r="S458" s="35"/>
    </row>
    <row r="459" ht="15.75" customHeight="1">
      <c r="E459" s="35"/>
      <c r="K459" s="35"/>
      <c r="M459" s="35"/>
      <c r="N459" s="35"/>
      <c r="P459" s="35"/>
      <c r="S459" s="35"/>
    </row>
    <row r="460" ht="15.75" customHeight="1">
      <c r="E460" s="35"/>
      <c r="K460" s="35"/>
      <c r="M460" s="35"/>
      <c r="N460" s="35"/>
      <c r="P460" s="35"/>
      <c r="S460" s="35"/>
    </row>
    <row r="461" ht="15.75" customHeight="1">
      <c r="E461" s="35"/>
      <c r="K461" s="35"/>
      <c r="M461" s="35"/>
      <c r="N461" s="35"/>
      <c r="P461" s="35"/>
      <c r="S461" s="35"/>
    </row>
    <row r="462" ht="15.75" customHeight="1">
      <c r="E462" s="35"/>
      <c r="K462" s="35"/>
      <c r="M462" s="35"/>
      <c r="N462" s="35"/>
      <c r="P462" s="35"/>
      <c r="S462" s="35"/>
    </row>
    <row r="463" ht="15.75" customHeight="1">
      <c r="E463" s="35"/>
      <c r="K463" s="35"/>
      <c r="M463" s="35"/>
      <c r="N463" s="35"/>
      <c r="P463" s="35"/>
      <c r="S463" s="35"/>
    </row>
    <row r="464" ht="15.75" customHeight="1">
      <c r="E464" s="35"/>
      <c r="K464" s="35"/>
      <c r="M464" s="35"/>
      <c r="N464" s="35"/>
      <c r="P464" s="35"/>
      <c r="S464" s="35"/>
    </row>
    <row r="465" ht="15.75" customHeight="1">
      <c r="E465" s="35"/>
      <c r="K465" s="35"/>
      <c r="M465" s="35"/>
      <c r="N465" s="35"/>
      <c r="P465" s="35"/>
      <c r="S465" s="35"/>
    </row>
    <row r="466" ht="15.75" customHeight="1">
      <c r="E466" s="35"/>
      <c r="K466" s="35"/>
      <c r="M466" s="35"/>
      <c r="N466" s="35"/>
      <c r="P466" s="35"/>
      <c r="S466" s="35"/>
    </row>
    <row r="467" ht="15.75" customHeight="1">
      <c r="E467" s="35"/>
      <c r="K467" s="35"/>
      <c r="M467" s="35"/>
      <c r="N467" s="35"/>
      <c r="P467" s="35"/>
      <c r="S467" s="35"/>
    </row>
    <row r="468" ht="15.75" customHeight="1">
      <c r="E468" s="35"/>
      <c r="K468" s="35"/>
      <c r="M468" s="35"/>
      <c r="N468" s="35"/>
      <c r="P468" s="35"/>
      <c r="S468" s="35"/>
    </row>
    <row r="469" ht="15.75" customHeight="1">
      <c r="E469" s="35"/>
      <c r="K469" s="35"/>
      <c r="M469" s="35"/>
      <c r="N469" s="35"/>
      <c r="P469" s="35"/>
      <c r="S469" s="35"/>
    </row>
    <row r="470" ht="15.75" customHeight="1">
      <c r="E470" s="35"/>
      <c r="K470" s="35"/>
      <c r="M470" s="35"/>
      <c r="N470" s="35"/>
      <c r="P470" s="35"/>
      <c r="S470" s="35"/>
    </row>
    <row r="471" ht="15.75" customHeight="1">
      <c r="E471" s="35"/>
      <c r="K471" s="35"/>
      <c r="M471" s="35"/>
      <c r="N471" s="35"/>
      <c r="P471" s="35"/>
      <c r="S471" s="35"/>
    </row>
    <row r="472" ht="15.75" customHeight="1">
      <c r="E472" s="35"/>
      <c r="K472" s="35"/>
      <c r="M472" s="35"/>
      <c r="N472" s="35"/>
      <c r="P472" s="35"/>
      <c r="S472" s="35"/>
    </row>
    <row r="473" ht="15.75" customHeight="1">
      <c r="E473" s="35"/>
      <c r="K473" s="35"/>
      <c r="M473" s="35"/>
      <c r="N473" s="35"/>
      <c r="P473" s="35"/>
      <c r="S473" s="35"/>
    </row>
    <row r="474" ht="15.75" customHeight="1">
      <c r="E474" s="35"/>
      <c r="K474" s="35"/>
      <c r="M474" s="35"/>
      <c r="N474" s="35"/>
      <c r="P474" s="35"/>
      <c r="S474" s="35"/>
    </row>
    <row r="475" ht="15.75" customHeight="1">
      <c r="E475" s="35"/>
      <c r="K475" s="35"/>
      <c r="M475" s="35"/>
      <c r="N475" s="35"/>
      <c r="P475" s="35"/>
      <c r="S475" s="35"/>
    </row>
    <row r="476" ht="15.75" customHeight="1">
      <c r="E476" s="35"/>
      <c r="K476" s="35"/>
      <c r="M476" s="35"/>
      <c r="N476" s="35"/>
      <c r="P476" s="35"/>
      <c r="S476" s="35"/>
    </row>
    <row r="477" ht="15.75" customHeight="1">
      <c r="E477" s="35"/>
      <c r="K477" s="35"/>
      <c r="M477" s="35"/>
      <c r="N477" s="35"/>
      <c r="P477" s="35"/>
      <c r="S477" s="35"/>
    </row>
    <row r="478" ht="15.75" customHeight="1">
      <c r="E478" s="35"/>
      <c r="K478" s="35"/>
      <c r="M478" s="35"/>
      <c r="N478" s="35"/>
      <c r="P478" s="35"/>
      <c r="S478" s="35"/>
    </row>
    <row r="479" ht="15.75" customHeight="1">
      <c r="E479" s="35"/>
      <c r="K479" s="35"/>
      <c r="M479" s="35"/>
      <c r="N479" s="35"/>
      <c r="P479" s="35"/>
      <c r="S479" s="35"/>
    </row>
    <row r="480" ht="15.75" customHeight="1">
      <c r="E480" s="35"/>
      <c r="K480" s="35"/>
      <c r="M480" s="35"/>
      <c r="N480" s="35"/>
      <c r="P480" s="35"/>
      <c r="S480" s="35"/>
    </row>
    <row r="481" ht="15.75" customHeight="1">
      <c r="E481" s="35"/>
      <c r="K481" s="35"/>
      <c r="M481" s="35"/>
      <c r="N481" s="35"/>
      <c r="P481" s="35"/>
      <c r="S481" s="35"/>
    </row>
    <row r="482" ht="15.75" customHeight="1">
      <c r="E482" s="35"/>
      <c r="K482" s="35"/>
      <c r="M482" s="35"/>
      <c r="N482" s="35"/>
      <c r="P482" s="35"/>
      <c r="S482" s="35"/>
    </row>
    <row r="483" ht="15.75" customHeight="1">
      <c r="E483" s="35"/>
      <c r="K483" s="35"/>
      <c r="M483" s="35"/>
      <c r="N483" s="35"/>
      <c r="P483" s="35"/>
      <c r="S483" s="35"/>
    </row>
    <row r="484" ht="15.75" customHeight="1">
      <c r="E484" s="35"/>
      <c r="K484" s="35"/>
      <c r="M484" s="35"/>
      <c r="N484" s="35"/>
      <c r="P484" s="35"/>
      <c r="S484" s="35"/>
    </row>
    <row r="485" ht="15.75" customHeight="1">
      <c r="E485" s="35"/>
      <c r="K485" s="35"/>
      <c r="M485" s="35"/>
      <c r="N485" s="35"/>
      <c r="P485" s="35"/>
      <c r="S485" s="35"/>
    </row>
    <row r="486" ht="15.75" customHeight="1">
      <c r="E486" s="35"/>
      <c r="K486" s="35"/>
      <c r="M486" s="35"/>
      <c r="N486" s="35"/>
      <c r="P486" s="35"/>
      <c r="S486" s="35"/>
    </row>
    <row r="487" ht="15.75" customHeight="1">
      <c r="E487" s="35"/>
      <c r="K487" s="35"/>
      <c r="M487" s="35"/>
      <c r="N487" s="35"/>
      <c r="P487" s="35"/>
      <c r="S487" s="35"/>
    </row>
    <row r="488" ht="15.75" customHeight="1">
      <c r="E488" s="35"/>
      <c r="K488" s="35"/>
      <c r="M488" s="35"/>
      <c r="N488" s="35"/>
      <c r="P488" s="35"/>
      <c r="S488" s="35"/>
    </row>
    <row r="489" ht="15.75" customHeight="1">
      <c r="E489" s="35"/>
      <c r="K489" s="35"/>
      <c r="M489" s="35"/>
      <c r="N489" s="35"/>
      <c r="P489" s="35"/>
      <c r="S489" s="35"/>
    </row>
    <row r="490" ht="15.75" customHeight="1">
      <c r="E490" s="35"/>
      <c r="K490" s="35"/>
      <c r="M490" s="35"/>
      <c r="N490" s="35"/>
      <c r="P490" s="35"/>
      <c r="S490" s="35"/>
    </row>
    <row r="491" ht="15.75" customHeight="1">
      <c r="E491" s="35"/>
      <c r="K491" s="35"/>
      <c r="M491" s="35"/>
      <c r="N491" s="35"/>
      <c r="P491" s="35"/>
      <c r="S491" s="35"/>
    </row>
    <row r="492" ht="15.75" customHeight="1">
      <c r="E492" s="35"/>
      <c r="K492" s="35"/>
      <c r="M492" s="35"/>
      <c r="N492" s="35"/>
      <c r="P492" s="35"/>
      <c r="S492" s="35"/>
    </row>
    <row r="493" ht="15.75" customHeight="1">
      <c r="E493" s="35"/>
      <c r="K493" s="35"/>
      <c r="M493" s="35"/>
      <c r="N493" s="35"/>
      <c r="P493" s="35"/>
      <c r="S493" s="35"/>
    </row>
    <row r="494" ht="15.75" customHeight="1">
      <c r="E494" s="35"/>
      <c r="K494" s="35"/>
      <c r="M494" s="35"/>
      <c r="N494" s="35"/>
      <c r="P494" s="35"/>
      <c r="S494" s="35"/>
    </row>
    <row r="495" ht="15.75" customHeight="1">
      <c r="E495" s="35"/>
      <c r="K495" s="35"/>
      <c r="M495" s="35"/>
      <c r="N495" s="35"/>
      <c r="P495" s="35"/>
      <c r="S495" s="35"/>
    </row>
    <row r="496" ht="15.75" customHeight="1">
      <c r="E496" s="35"/>
      <c r="K496" s="35"/>
      <c r="M496" s="35"/>
      <c r="N496" s="35"/>
      <c r="P496" s="35"/>
      <c r="S496" s="35"/>
    </row>
    <row r="497" ht="15.75" customHeight="1">
      <c r="E497" s="35"/>
      <c r="K497" s="35"/>
      <c r="M497" s="35"/>
      <c r="N497" s="35"/>
      <c r="P497" s="35"/>
      <c r="S497" s="35"/>
    </row>
    <row r="498" ht="15.75" customHeight="1">
      <c r="E498" s="35"/>
      <c r="K498" s="35"/>
      <c r="M498" s="35"/>
      <c r="N498" s="35"/>
      <c r="P498" s="35"/>
      <c r="S498" s="35"/>
    </row>
    <row r="499" ht="15.75" customHeight="1">
      <c r="E499" s="35"/>
      <c r="K499" s="35"/>
      <c r="M499" s="35"/>
      <c r="N499" s="35"/>
      <c r="P499" s="35"/>
      <c r="S499" s="35"/>
    </row>
    <row r="500" ht="15.75" customHeight="1">
      <c r="E500" s="35"/>
      <c r="K500" s="35"/>
      <c r="M500" s="35"/>
      <c r="N500" s="35"/>
      <c r="P500" s="35"/>
      <c r="S500" s="35"/>
    </row>
    <row r="501" ht="15.75" customHeight="1">
      <c r="E501" s="35"/>
      <c r="K501" s="35"/>
      <c r="M501" s="35"/>
      <c r="N501" s="35"/>
      <c r="P501" s="35"/>
      <c r="S501" s="35"/>
    </row>
    <row r="502" ht="15.75" customHeight="1">
      <c r="E502" s="35"/>
      <c r="K502" s="35"/>
      <c r="M502" s="35"/>
      <c r="N502" s="35"/>
      <c r="P502" s="35"/>
      <c r="S502" s="35"/>
    </row>
    <row r="503" ht="15.75" customHeight="1">
      <c r="E503" s="35"/>
      <c r="K503" s="35"/>
      <c r="M503" s="35"/>
      <c r="N503" s="35"/>
      <c r="P503" s="35"/>
      <c r="S503" s="35"/>
    </row>
    <row r="504" ht="15.75" customHeight="1">
      <c r="E504" s="35"/>
      <c r="K504" s="35"/>
      <c r="M504" s="35"/>
      <c r="N504" s="35"/>
      <c r="P504" s="35"/>
      <c r="S504" s="35"/>
    </row>
    <row r="505" ht="15.75" customHeight="1">
      <c r="E505" s="35"/>
      <c r="K505" s="35"/>
      <c r="M505" s="35"/>
      <c r="N505" s="35"/>
      <c r="P505" s="35"/>
      <c r="S505" s="35"/>
    </row>
    <row r="506" ht="15.75" customHeight="1">
      <c r="E506" s="35"/>
      <c r="K506" s="35"/>
      <c r="M506" s="35"/>
      <c r="N506" s="35"/>
      <c r="P506" s="35"/>
      <c r="S506" s="35"/>
    </row>
    <row r="507" ht="15.75" customHeight="1">
      <c r="E507" s="35"/>
      <c r="K507" s="35"/>
      <c r="M507" s="35"/>
      <c r="N507" s="35"/>
      <c r="P507" s="35"/>
      <c r="S507" s="35"/>
    </row>
    <row r="508" ht="15.75" customHeight="1">
      <c r="E508" s="35"/>
      <c r="K508" s="35"/>
      <c r="M508" s="35"/>
      <c r="N508" s="35"/>
      <c r="P508" s="35"/>
      <c r="S508" s="35"/>
    </row>
    <row r="509" ht="15.75" customHeight="1">
      <c r="E509" s="35"/>
      <c r="K509" s="35"/>
      <c r="M509" s="35"/>
      <c r="N509" s="35"/>
      <c r="P509" s="35"/>
      <c r="S509" s="35"/>
    </row>
    <row r="510" ht="15.75" customHeight="1">
      <c r="E510" s="35"/>
      <c r="K510" s="35"/>
      <c r="M510" s="35"/>
      <c r="N510" s="35"/>
      <c r="P510" s="35"/>
      <c r="S510" s="35"/>
    </row>
    <row r="511" ht="15.75" customHeight="1">
      <c r="E511" s="35"/>
      <c r="K511" s="35"/>
      <c r="M511" s="35"/>
      <c r="N511" s="35"/>
      <c r="P511" s="35"/>
      <c r="S511" s="35"/>
    </row>
    <row r="512" ht="15.75" customHeight="1">
      <c r="E512" s="35"/>
      <c r="K512" s="35"/>
      <c r="M512" s="35"/>
      <c r="N512" s="35"/>
      <c r="P512" s="35"/>
      <c r="S512" s="35"/>
    </row>
    <row r="513" ht="15.75" customHeight="1">
      <c r="E513" s="35"/>
      <c r="K513" s="35"/>
      <c r="M513" s="35"/>
      <c r="N513" s="35"/>
      <c r="P513" s="35"/>
      <c r="S513" s="35"/>
    </row>
    <row r="514" ht="15.75" customHeight="1">
      <c r="E514" s="35"/>
      <c r="K514" s="35"/>
      <c r="M514" s="35"/>
      <c r="N514" s="35"/>
      <c r="P514" s="35"/>
      <c r="S514" s="35"/>
    </row>
    <row r="515" ht="15.75" customHeight="1">
      <c r="E515" s="35"/>
      <c r="K515" s="35"/>
      <c r="M515" s="35"/>
      <c r="N515" s="35"/>
      <c r="P515" s="35"/>
      <c r="S515" s="35"/>
    </row>
    <row r="516" ht="15.75" customHeight="1">
      <c r="E516" s="35"/>
      <c r="K516" s="35"/>
      <c r="M516" s="35"/>
      <c r="N516" s="35"/>
      <c r="P516" s="35"/>
      <c r="S516" s="35"/>
    </row>
    <row r="517" ht="15.75" customHeight="1">
      <c r="E517" s="35"/>
      <c r="K517" s="35"/>
      <c r="M517" s="35"/>
      <c r="N517" s="35"/>
      <c r="P517" s="35"/>
      <c r="S517" s="35"/>
    </row>
    <row r="518" ht="15.75" customHeight="1">
      <c r="E518" s="35"/>
      <c r="K518" s="35"/>
      <c r="M518" s="35"/>
      <c r="N518" s="35"/>
      <c r="P518" s="35"/>
      <c r="S518" s="35"/>
    </row>
    <row r="519" ht="15.75" customHeight="1">
      <c r="E519" s="35"/>
      <c r="K519" s="35"/>
      <c r="M519" s="35"/>
      <c r="N519" s="35"/>
      <c r="P519" s="35"/>
      <c r="S519" s="35"/>
    </row>
    <row r="520" ht="15.75" customHeight="1">
      <c r="E520" s="35"/>
      <c r="K520" s="35"/>
      <c r="M520" s="35"/>
      <c r="N520" s="35"/>
      <c r="P520" s="35"/>
      <c r="S520" s="35"/>
    </row>
    <row r="521" ht="15.75" customHeight="1">
      <c r="E521" s="35"/>
      <c r="K521" s="35"/>
      <c r="M521" s="35"/>
      <c r="N521" s="35"/>
      <c r="P521" s="35"/>
      <c r="S521" s="35"/>
    </row>
    <row r="522" ht="15.75" customHeight="1">
      <c r="E522" s="35"/>
      <c r="K522" s="35"/>
      <c r="M522" s="35"/>
      <c r="N522" s="35"/>
      <c r="P522" s="35"/>
      <c r="S522" s="35"/>
    </row>
    <row r="523" ht="15.75" customHeight="1">
      <c r="E523" s="35"/>
      <c r="K523" s="35"/>
      <c r="M523" s="35"/>
      <c r="N523" s="35"/>
      <c r="P523" s="35"/>
      <c r="S523" s="35"/>
    </row>
    <row r="524" ht="15.75" customHeight="1">
      <c r="E524" s="35"/>
      <c r="K524" s="35"/>
      <c r="M524" s="35"/>
      <c r="N524" s="35"/>
      <c r="P524" s="35"/>
      <c r="S524" s="35"/>
    </row>
    <row r="525" ht="15.75" customHeight="1">
      <c r="E525" s="35"/>
      <c r="K525" s="35"/>
      <c r="M525" s="35"/>
      <c r="N525" s="35"/>
      <c r="P525" s="35"/>
      <c r="S525" s="35"/>
    </row>
    <row r="526" ht="15.75" customHeight="1">
      <c r="E526" s="35"/>
      <c r="K526" s="35"/>
      <c r="M526" s="35"/>
      <c r="N526" s="35"/>
      <c r="P526" s="35"/>
      <c r="S526" s="35"/>
    </row>
    <row r="527" ht="15.75" customHeight="1">
      <c r="E527" s="35"/>
      <c r="K527" s="35"/>
      <c r="M527" s="35"/>
      <c r="N527" s="35"/>
      <c r="P527" s="35"/>
      <c r="S527" s="35"/>
    </row>
    <row r="528" ht="15.75" customHeight="1">
      <c r="E528" s="35"/>
      <c r="K528" s="35"/>
      <c r="M528" s="35"/>
      <c r="N528" s="35"/>
      <c r="P528" s="35"/>
      <c r="S528" s="35"/>
    </row>
    <row r="529" ht="15.75" customHeight="1">
      <c r="E529" s="35"/>
      <c r="K529" s="35"/>
      <c r="M529" s="35"/>
      <c r="N529" s="35"/>
      <c r="P529" s="35"/>
      <c r="S529" s="35"/>
    </row>
    <row r="530" ht="15.75" customHeight="1">
      <c r="E530" s="35"/>
      <c r="K530" s="35"/>
      <c r="M530" s="35"/>
      <c r="N530" s="35"/>
      <c r="P530" s="35"/>
      <c r="S530" s="35"/>
    </row>
    <row r="531" ht="15.75" customHeight="1">
      <c r="E531" s="35"/>
      <c r="K531" s="35"/>
      <c r="M531" s="35"/>
      <c r="N531" s="35"/>
      <c r="P531" s="35"/>
      <c r="S531" s="35"/>
    </row>
    <row r="532" ht="15.75" customHeight="1">
      <c r="E532" s="35"/>
      <c r="K532" s="35"/>
      <c r="M532" s="35"/>
      <c r="N532" s="35"/>
      <c r="P532" s="35"/>
      <c r="S532" s="35"/>
    </row>
    <row r="533" ht="15.75" customHeight="1">
      <c r="E533" s="35"/>
      <c r="K533" s="35"/>
      <c r="M533" s="35"/>
      <c r="N533" s="35"/>
      <c r="P533" s="35"/>
      <c r="S533" s="35"/>
    </row>
    <row r="534" ht="15.75" customHeight="1">
      <c r="E534" s="35"/>
      <c r="K534" s="35"/>
      <c r="M534" s="35"/>
      <c r="N534" s="35"/>
      <c r="P534" s="35"/>
      <c r="S534" s="35"/>
    </row>
    <row r="535" ht="15.75" customHeight="1">
      <c r="E535" s="35"/>
      <c r="K535" s="35"/>
      <c r="M535" s="35"/>
      <c r="N535" s="35"/>
      <c r="P535" s="35"/>
      <c r="S535" s="35"/>
    </row>
    <row r="536" ht="15.75" customHeight="1">
      <c r="E536" s="35"/>
      <c r="K536" s="35"/>
      <c r="M536" s="35"/>
      <c r="N536" s="35"/>
      <c r="P536" s="35"/>
      <c r="S536" s="35"/>
    </row>
    <row r="537" ht="15.75" customHeight="1">
      <c r="E537" s="35"/>
      <c r="K537" s="35"/>
      <c r="M537" s="35"/>
      <c r="N537" s="35"/>
      <c r="P537" s="35"/>
      <c r="S537" s="35"/>
    </row>
    <row r="538" ht="15.75" customHeight="1">
      <c r="E538" s="35"/>
      <c r="K538" s="35"/>
      <c r="M538" s="35"/>
      <c r="N538" s="35"/>
      <c r="P538" s="35"/>
      <c r="S538" s="35"/>
    </row>
    <row r="539" ht="15.75" customHeight="1">
      <c r="E539" s="35"/>
      <c r="K539" s="35"/>
      <c r="M539" s="35"/>
      <c r="N539" s="35"/>
      <c r="P539" s="35"/>
      <c r="S539" s="35"/>
    </row>
    <row r="540" ht="15.75" customHeight="1">
      <c r="E540" s="35"/>
      <c r="K540" s="35"/>
      <c r="M540" s="35"/>
      <c r="N540" s="35"/>
      <c r="P540" s="35"/>
      <c r="S540" s="35"/>
    </row>
    <row r="541" ht="15.75" customHeight="1">
      <c r="E541" s="35"/>
      <c r="K541" s="35"/>
      <c r="M541" s="35"/>
      <c r="N541" s="35"/>
      <c r="P541" s="35"/>
      <c r="S541" s="35"/>
    </row>
    <row r="542" ht="15.75" customHeight="1">
      <c r="E542" s="35"/>
      <c r="K542" s="35"/>
      <c r="M542" s="35"/>
      <c r="N542" s="35"/>
      <c r="P542" s="35"/>
      <c r="S542" s="35"/>
    </row>
    <row r="543" ht="15.75" customHeight="1">
      <c r="E543" s="35"/>
      <c r="K543" s="35"/>
      <c r="M543" s="35"/>
      <c r="N543" s="35"/>
      <c r="P543" s="35"/>
      <c r="S543" s="35"/>
    </row>
    <row r="544" ht="15.75" customHeight="1">
      <c r="E544" s="35"/>
      <c r="K544" s="35"/>
      <c r="M544" s="35"/>
      <c r="N544" s="35"/>
      <c r="P544" s="35"/>
      <c r="S544" s="35"/>
    </row>
    <row r="545" ht="15.75" customHeight="1">
      <c r="E545" s="35"/>
      <c r="K545" s="35"/>
      <c r="M545" s="35"/>
      <c r="N545" s="35"/>
      <c r="P545" s="35"/>
      <c r="S545" s="35"/>
    </row>
    <row r="546" ht="15.75" customHeight="1">
      <c r="E546" s="35"/>
      <c r="K546" s="35"/>
      <c r="M546" s="35"/>
      <c r="N546" s="35"/>
      <c r="P546" s="35"/>
      <c r="S546" s="35"/>
    </row>
    <row r="547" ht="15.75" customHeight="1">
      <c r="E547" s="35"/>
      <c r="K547" s="35"/>
      <c r="M547" s="35"/>
      <c r="N547" s="35"/>
      <c r="P547" s="35"/>
      <c r="S547" s="35"/>
    </row>
    <row r="548" ht="15.75" customHeight="1">
      <c r="E548" s="35"/>
      <c r="K548" s="35"/>
      <c r="M548" s="35"/>
      <c r="N548" s="35"/>
      <c r="P548" s="35"/>
      <c r="S548" s="35"/>
    </row>
    <row r="549" ht="15.75" customHeight="1">
      <c r="E549" s="35"/>
      <c r="K549" s="35"/>
      <c r="M549" s="35"/>
      <c r="N549" s="35"/>
      <c r="P549" s="35"/>
      <c r="S549" s="35"/>
    </row>
    <row r="550" ht="15.75" customHeight="1">
      <c r="E550" s="35"/>
      <c r="K550" s="35"/>
      <c r="M550" s="35"/>
      <c r="N550" s="35"/>
      <c r="P550" s="35"/>
      <c r="S550" s="35"/>
    </row>
    <row r="551" ht="15.75" customHeight="1">
      <c r="E551" s="35"/>
      <c r="K551" s="35"/>
      <c r="M551" s="35"/>
      <c r="N551" s="35"/>
      <c r="P551" s="35"/>
      <c r="S551" s="35"/>
    </row>
    <row r="552" ht="15.75" customHeight="1">
      <c r="E552" s="35"/>
      <c r="K552" s="35"/>
      <c r="M552" s="35"/>
      <c r="N552" s="35"/>
      <c r="P552" s="35"/>
      <c r="S552" s="35"/>
    </row>
    <row r="553" ht="15.75" customHeight="1">
      <c r="E553" s="35"/>
      <c r="K553" s="35"/>
      <c r="M553" s="35"/>
      <c r="N553" s="35"/>
      <c r="P553" s="35"/>
      <c r="S553" s="35"/>
    </row>
    <row r="554" ht="15.75" customHeight="1">
      <c r="E554" s="35"/>
      <c r="K554" s="35"/>
      <c r="M554" s="35"/>
      <c r="N554" s="35"/>
      <c r="P554" s="35"/>
      <c r="S554" s="35"/>
    </row>
    <row r="555" ht="15.75" customHeight="1">
      <c r="E555" s="35"/>
      <c r="K555" s="35"/>
      <c r="M555" s="35"/>
      <c r="N555" s="35"/>
      <c r="P555" s="35"/>
      <c r="S555" s="35"/>
    </row>
    <row r="556" ht="15.75" customHeight="1">
      <c r="E556" s="35"/>
      <c r="K556" s="35"/>
      <c r="M556" s="35"/>
      <c r="N556" s="35"/>
      <c r="P556" s="35"/>
      <c r="S556" s="35"/>
    </row>
    <row r="557" ht="15.75" customHeight="1">
      <c r="E557" s="35"/>
      <c r="K557" s="35"/>
      <c r="M557" s="35"/>
      <c r="N557" s="35"/>
      <c r="P557" s="35"/>
      <c r="S557" s="35"/>
    </row>
    <row r="558" ht="15.75" customHeight="1">
      <c r="E558" s="35"/>
      <c r="K558" s="35"/>
      <c r="M558" s="35"/>
      <c r="N558" s="35"/>
      <c r="P558" s="35"/>
      <c r="S558" s="35"/>
    </row>
    <row r="559" ht="15.75" customHeight="1">
      <c r="E559" s="35"/>
      <c r="K559" s="35"/>
      <c r="M559" s="35"/>
      <c r="N559" s="35"/>
      <c r="P559" s="35"/>
      <c r="S559" s="35"/>
    </row>
    <row r="560" ht="15.75" customHeight="1">
      <c r="E560" s="35"/>
      <c r="K560" s="35"/>
      <c r="M560" s="35"/>
      <c r="N560" s="35"/>
      <c r="P560" s="35"/>
      <c r="S560" s="35"/>
    </row>
    <row r="561" ht="15.75" customHeight="1">
      <c r="E561" s="35"/>
      <c r="K561" s="35"/>
      <c r="M561" s="35"/>
      <c r="N561" s="35"/>
      <c r="P561" s="35"/>
      <c r="S561" s="35"/>
    </row>
    <row r="562" ht="15.75" customHeight="1">
      <c r="E562" s="35"/>
      <c r="K562" s="35"/>
      <c r="M562" s="35"/>
      <c r="N562" s="35"/>
      <c r="P562" s="35"/>
      <c r="S562" s="35"/>
    </row>
    <row r="563" ht="15.75" customHeight="1">
      <c r="E563" s="35"/>
      <c r="K563" s="35"/>
      <c r="M563" s="35"/>
      <c r="N563" s="35"/>
      <c r="P563" s="35"/>
      <c r="S563" s="35"/>
    </row>
    <row r="564" ht="15.75" customHeight="1">
      <c r="E564" s="35"/>
      <c r="K564" s="35"/>
      <c r="M564" s="35"/>
      <c r="N564" s="35"/>
      <c r="P564" s="35"/>
      <c r="S564" s="35"/>
    </row>
    <row r="565" ht="15.75" customHeight="1">
      <c r="E565" s="35"/>
      <c r="K565" s="35"/>
      <c r="M565" s="35"/>
      <c r="N565" s="35"/>
      <c r="P565" s="35"/>
      <c r="S565" s="35"/>
    </row>
    <row r="566" ht="15.75" customHeight="1">
      <c r="E566" s="35"/>
      <c r="K566" s="35"/>
      <c r="M566" s="35"/>
      <c r="N566" s="35"/>
      <c r="P566" s="35"/>
      <c r="S566" s="35"/>
    </row>
    <row r="567" ht="15.75" customHeight="1">
      <c r="E567" s="35"/>
      <c r="K567" s="35"/>
      <c r="M567" s="35"/>
      <c r="N567" s="35"/>
      <c r="P567" s="35"/>
      <c r="S567" s="35"/>
    </row>
    <row r="568" ht="15.75" customHeight="1">
      <c r="E568" s="35"/>
      <c r="K568" s="35"/>
      <c r="M568" s="35"/>
      <c r="N568" s="35"/>
      <c r="P568" s="35"/>
      <c r="S568" s="35"/>
    </row>
    <row r="569" ht="15.75" customHeight="1">
      <c r="E569" s="35"/>
      <c r="K569" s="35"/>
      <c r="M569" s="35"/>
      <c r="N569" s="35"/>
      <c r="P569" s="35"/>
      <c r="S569" s="35"/>
    </row>
    <row r="570" ht="15.75" customHeight="1">
      <c r="E570" s="35"/>
      <c r="K570" s="35"/>
      <c r="M570" s="35"/>
      <c r="N570" s="35"/>
      <c r="P570" s="35"/>
      <c r="S570" s="35"/>
    </row>
    <row r="571" ht="15.75" customHeight="1">
      <c r="E571" s="35"/>
      <c r="K571" s="35"/>
      <c r="M571" s="35"/>
      <c r="N571" s="35"/>
      <c r="P571" s="35"/>
      <c r="S571" s="35"/>
    </row>
    <row r="572" ht="15.75" customHeight="1">
      <c r="E572" s="35"/>
      <c r="K572" s="35"/>
      <c r="M572" s="35"/>
      <c r="N572" s="35"/>
      <c r="P572" s="35"/>
      <c r="S572" s="35"/>
    </row>
    <row r="573" ht="15.75" customHeight="1">
      <c r="E573" s="35"/>
      <c r="K573" s="35"/>
      <c r="M573" s="35"/>
      <c r="N573" s="35"/>
      <c r="P573" s="35"/>
      <c r="S573" s="35"/>
    </row>
    <row r="574" ht="15.75" customHeight="1">
      <c r="E574" s="35"/>
      <c r="K574" s="35"/>
      <c r="M574" s="35"/>
      <c r="N574" s="35"/>
      <c r="P574" s="35"/>
      <c r="S574" s="35"/>
    </row>
    <row r="575" ht="15.75" customHeight="1">
      <c r="E575" s="35"/>
      <c r="K575" s="35"/>
      <c r="M575" s="35"/>
      <c r="N575" s="35"/>
      <c r="P575" s="35"/>
      <c r="S575" s="35"/>
    </row>
    <row r="576" ht="15.75" customHeight="1">
      <c r="E576" s="35"/>
      <c r="K576" s="35"/>
      <c r="M576" s="35"/>
      <c r="N576" s="35"/>
      <c r="P576" s="35"/>
      <c r="S576" s="35"/>
    </row>
    <row r="577" ht="15.75" customHeight="1">
      <c r="E577" s="35"/>
      <c r="K577" s="35"/>
      <c r="M577" s="35"/>
      <c r="N577" s="35"/>
      <c r="P577" s="35"/>
      <c r="S577" s="35"/>
    </row>
    <row r="578" ht="15.75" customHeight="1">
      <c r="E578" s="35"/>
      <c r="K578" s="35"/>
      <c r="M578" s="35"/>
      <c r="N578" s="35"/>
      <c r="P578" s="35"/>
      <c r="S578" s="35"/>
    </row>
    <row r="579" ht="15.75" customHeight="1">
      <c r="E579" s="35"/>
      <c r="K579" s="35"/>
      <c r="M579" s="35"/>
      <c r="N579" s="35"/>
      <c r="P579" s="35"/>
      <c r="S579" s="35"/>
    </row>
    <row r="580" ht="15.75" customHeight="1">
      <c r="E580" s="35"/>
      <c r="K580" s="35"/>
      <c r="M580" s="35"/>
      <c r="N580" s="35"/>
      <c r="P580" s="35"/>
      <c r="S580" s="35"/>
    </row>
    <row r="581" ht="15.75" customHeight="1">
      <c r="E581" s="35"/>
      <c r="K581" s="35"/>
      <c r="M581" s="35"/>
      <c r="N581" s="35"/>
      <c r="P581" s="35"/>
      <c r="S581" s="35"/>
    </row>
    <row r="582" ht="15.75" customHeight="1">
      <c r="E582" s="35"/>
      <c r="K582" s="35"/>
      <c r="M582" s="35"/>
      <c r="N582" s="35"/>
      <c r="P582" s="35"/>
      <c r="S582" s="35"/>
    </row>
    <row r="583" ht="15.75" customHeight="1">
      <c r="E583" s="35"/>
      <c r="K583" s="35"/>
      <c r="M583" s="35"/>
      <c r="N583" s="35"/>
      <c r="P583" s="35"/>
      <c r="S583" s="35"/>
    </row>
    <row r="584" ht="15.75" customHeight="1">
      <c r="E584" s="35"/>
      <c r="K584" s="35"/>
      <c r="M584" s="35"/>
      <c r="N584" s="35"/>
      <c r="P584" s="35"/>
      <c r="S584" s="35"/>
    </row>
    <row r="585" ht="15.75" customHeight="1">
      <c r="E585" s="35"/>
      <c r="K585" s="35"/>
      <c r="M585" s="35"/>
      <c r="N585" s="35"/>
      <c r="P585" s="35"/>
      <c r="S585" s="35"/>
    </row>
    <row r="586" ht="15.75" customHeight="1">
      <c r="E586" s="35"/>
      <c r="K586" s="35"/>
      <c r="M586" s="35"/>
      <c r="N586" s="35"/>
      <c r="P586" s="35"/>
      <c r="S586" s="35"/>
    </row>
    <row r="587" ht="15.75" customHeight="1">
      <c r="E587" s="35"/>
      <c r="K587" s="35"/>
      <c r="M587" s="35"/>
      <c r="N587" s="35"/>
      <c r="P587" s="35"/>
      <c r="S587" s="35"/>
    </row>
    <row r="588" ht="15.75" customHeight="1">
      <c r="E588" s="35"/>
      <c r="K588" s="35"/>
      <c r="M588" s="35"/>
      <c r="N588" s="35"/>
      <c r="P588" s="35"/>
      <c r="S588" s="35"/>
    </row>
    <row r="589" ht="15.75" customHeight="1">
      <c r="E589" s="35"/>
      <c r="K589" s="35"/>
      <c r="M589" s="35"/>
      <c r="N589" s="35"/>
      <c r="P589" s="35"/>
      <c r="S589" s="35"/>
    </row>
    <row r="590" ht="15.75" customHeight="1">
      <c r="E590" s="35"/>
      <c r="K590" s="35"/>
      <c r="M590" s="35"/>
      <c r="N590" s="35"/>
      <c r="P590" s="35"/>
      <c r="S590" s="35"/>
    </row>
    <row r="591" ht="15.75" customHeight="1">
      <c r="E591" s="35"/>
      <c r="K591" s="35"/>
      <c r="M591" s="35"/>
      <c r="N591" s="35"/>
      <c r="P591" s="35"/>
      <c r="S591" s="35"/>
    </row>
    <row r="592" ht="15.75" customHeight="1">
      <c r="E592" s="35"/>
      <c r="K592" s="35"/>
      <c r="M592" s="35"/>
      <c r="N592" s="35"/>
      <c r="P592" s="35"/>
      <c r="S592" s="35"/>
    </row>
    <row r="593" ht="15.75" customHeight="1">
      <c r="E593" s="35"/>
      <c r="K593" s="35"/>
      <c r="M593" s="35"/>
      <c r="N593" s="35"/>
      <c r="P593" s="35"/>
      <c r="S593" s="35"/>
    </row>
    <row r="594" ht="15.75" customHeight="1">
      <c r="E594" s="35"/>
      <c r="K594" s="35"/>
      <c r="M594" s="35"/>
      <c r="N594" s="35"/>
      <c r="P594" s="35"/>
      <c r="S594" s="35"/>
    </row>
    <row r="595" ht="15.75" customHeight="1">
      <c r="E595" s="35"/>
      <c r="K595" s="35"/>
      <c r="M595" s="35"/>
      <c r="N595" s="35"/>
      <c r="P595" s="35"/>
      <c r="S595" s="35"/>
    </row>
    <row r="596" ht="15.75" customHeight="1">
      <c r="E596" s="35"/>
      <c r="K596" s="35"/>
      <c r="M596" s="35"/>
      <c r="N596" s="35"/>
      <c r="P596" s="35"/>
      <c r="S596" s="35"/>
    </row>
    <row r="597" ht="15.75" customHeight="1">
      <c r="E597" s="35"/>
      <c r="K597" s="35"/>
      <c r="M597" s="35"/>
      <c r="N597" s="35"/>
      <c r="P597" s="35"/>
      <c r="S597" s="35"/>
    </row>
    <row r="598" ht="15.75" customHeight="1">
      <c r="E598" s="35"/>
      <c r="K598" s="35"/>
      <c r="M598" s="35"/>
      <c r="N598" s="35"/>
      <c r="P598" s="35"/>
      <c r="S598" s="35"/>
    </row>
    <row r="599" ht="15.75" customHeight="1">
      <c r="E599" s="35"/>
      <c r="K599" s="35"/>
      <c r="M599" s="35"/>
      <c r="N599" s="35"/>
      <c r="P599" s="35"/>
      <c r="S599" s="35"/>
    </row>
    <row r="600" ht="15.75" customHeight="1">
      <c r="E600" s="35"/>
      <c r="K600" s="35"/>
      <c r="M600" s="35"/>
      <c r="N600" s="35"/>
      <c r="P600" s="35"/>
      <c r="S600" s="35"/>
    </row>
    <row r="601" ht="15.75" customHeight="1">
      <c r="E601" s="35"/>
      <c r="K601" s="35"/>
      <c r="M601" s="35"/>
      <c r="N601" s="35"/>
      <c r="P601" s="35"/>
      <c r="S601" s="35"/>
    </row>
    <row r="602" ht="15.75" customHeight="1">
      <c r="E602" s="35"/>
      <c r="K602" s="35"/>
      <c r="M602" s="35"/>
      <c r="N602" s="35"/>
      <c r="P602" s="35"/>
      <c r="S602" s="35"/>
    </row>
    <row r="603" ht="15.75" customHeight="1">
      <c r="E603" s="35"/>
      <c r="K603" s="35"/>
      <c r="M603" s="35"/>
      <c r="N603" s="35"/>
      <c r="P603" s="35"/>
      <c r="S603" s="35"/>
    </row>
    <row r="604" ht="15.75" customHeight="1">
      <c r="E604" s="35"/>
      <c r="K604" s="35"/>
      <c r="M604" s="35"/>
      <c r="N604" s="35"/>
      <c r="P604" s="35"/>
      <c r="S604" s="35"/>
    </row>
    <row r="605" ht="15.75" customHeight="1">
      <c r="E605" s="35"/>
      <c r="K605" s="35"/>
      <c r="M605" s="35"/>
      <c r="N605" s="35"/>
      <c r="P605" s="35"/>
      <c r="S605" s="35"/>
    </row>
    <row r="606" ht="15.75" customHeight="1">
      <c r="E606" s="35"/>
      <c r="K606" s="35"/>
      <c r="M606" s="35"/>
      <c r="N606" s="35"/>
      <c r="P606" s="35"/>
      <c r="S606" s="35"/>
    </row>
    <row r="607" ht="15.75" customHeight="1">
      <c r="E607" s="35"/>
      <c r="K607" s="35"/>
      <c r="M607" s="35"/>
      <c r="N607" s="35"/>
      <c r="P607" s="35"/>
      <c r="S607" s="35"/>
    </row>
    <row r="608" ht="15.75" customHeight="1">
      <c r="E608" s="35"/>
      <c r="K608" s="35"/>
      <c r="M608" s="35"/>
      <c r="N608" s="35"/>
      <c r="P608" s="35"/>
      <c r="S608" s="35"/>
    </row>
    <row r="609" ht="15.75" customHeight="1">
      <c r="E609" s="35"/>
      <c r="K609" s="35"/>
      <c r="M609" s="35"/>
      <c r="N609" s="35"/>
      <c r="P609" s="35"/>
      <c r="S609" s="35"/>
    </row>
    <row r="610" ht="15.75" customHeight="1">
      <c r="E610" s="35"/>
      <c r="K610" s="35"/>
      <c r="M610" s="35"/>
      <c r="N610" s="35"/>
      <c r="P610" s="35"/>
      <c r="S610" s="35"/>
    </row>
    <row r="611" ht="15.75" customHeight="1">
      <c r="E611" s="35"/>
      <c r="K611" s="35"/>
      <c r="M611" s="35"/>
      <c r="N611" s="35"/>
      <c r="P611" s="35"/>
      <c r="S611" s="35"/>
    </row>
    <row r="612" ht="15.75" customHeight="1">
      <c r="E612" s="35"/>
      <c r="K612" s="35"/>
      <c r="M612" s="35"/>
      <c r="N612" s="35"/>
      <c r="P612" s="35"/>
      <c r="S612" s="35"/>
    </row>
    <row r="613" ht="15.75" customHeight="1">
      <c r="E613" s="35"/>
      <c r="K613" s="35"/>
      <c r="M613" s="35"/>
      <c r="N613" s="35"/>
      <c r="P613" s="35"/>
      <c r="S613" s="35"/>
    </row>
    <row r="614" ht="15.75" customHeight="1">
      <c r="E614" s="35"/>
      <c r="K614" s="35"/>
      <c r="M614" s="35"/>
      <c r="N614" s="35"/>
      <c r="P614" s="35"/>
      <c r="S614" s="35"/>
    </row>
    <row r="615" ht="15.75" customHeight="1">
      <c r="E615" s="35"/>
      <c r="K615" s="35"/>
      <c r="M615" s="35"/>
      <c r="N615" s="35"/>
      <c r="P615" s="35"/>
      <c r="S615" s="35"/>
    </row>
    <row r="616" ht="15.75" customHeight="1">
      <c r="E616" s="35"/>
      <c r="K616" s="35"/>
      <c r="M616" s="35"/>
      <c r="N616" s="35"/>
      <c r="P616" s="35"/>
      <c r="S616" s="35"/>
    </row>
    <row r="617" ht="15.75" customHeight="1">
      <c r="E617" s="35"/>
      <c r="K617" s="35"/>
      <c r="M617" s="35"/>
      <c r="N617" s="35"/>
      <c r="P617" s="35"/>
      <c r="S617" s="35"/>
    </row>
    <row r="618" ht="15.75" customHeight="1">
      <c r="E618" s="35"/>
      <c r="K618" s="35"/>
      <c r="M618" s="35"/>
      <c r="N618" s="35"/>
      <c r="P618" s="35"/>
      <c r="S618" s="35"/>
    </row>
    <row r="619" ht="15.75" customHeight="1">
      <c r="E619" s="35"/>
      <c r="K619" s="35"/>
      <c r="M619" s="35"/>
      <c r="N619" s="35"/>
      <c r="P619" s="35"/>
      <c r="S619" s="35"/>
    </row>
    <row r="620" ht="15.75" customHeight="1">
      <c r="E620" s="35"/>
      <c r="K620" s="35"/>
      <c r="M620" s="35"/>
      <c r="N620" s="35"/>
      <c r="P620" s="35"/>
      <c r="S620" s="35"/>
    </row>
    <row r="621" ht="15.75" customHeight="1">
      <c r="E621" s="35"/>
      <c r="K621" s="35"/>
      <c r="M621" s="35"/>
      <c r="N621" s="35"/>
      <c r="P621" s="35"/>
      <c r="S621" s="35"/>
    </row>
    <row r="622" ht="15.75" customHeight="1">
      <c r="E622" s="35"/>
      <c r="K622" s="35"/>
      <c r="M622" s="35"/>
      <c r="N622" s="35"/>
      <c r="P622" s="35"/>
      <c r="S622" s="35"/>
    </row>
    <row r="623" ht="15.75" customHeight="1">
      <c r="E623" s="35"/>
      <c r="K623" s="35"/>
      <c r="M623" s="35"/>
      <c r="N623" s="35"/>
      <c r="P623" s="35"/>
      <c r="S623" s="35"/>
    </row>
    <row r="624" ht="15.75" customHeight="1">
      <c r="E624" s="35"/>
      <c r="K624" s="35"/>
      <c r="M624" s="35"/>
      <c r="N624" s="35"/>
      <c r="P624" s="35"/>
      <c r="S624" s="35"/>
    </row>
    <row r="625" ht="15.75" customHeight="1">
      <c r="E625" s="35"/>
      <c r="K625" s="35"/>
      <c r="M625" s="35"/>
      <c r="N625" s="35"/>
      <c r="P625" s="35"/>
      <c r="S625" s="35"/>
    </row>
    <row r="626" ht="15.75" customHeight="1">
      <c r="E626" s="35"/>
      <c r="K626" s="35"/>
      <c r="M626" s="35"/>
      <c r="N626" s="35"/>
      <c r="P626" s="35"/>
      <c r="S626" s="35"/>
    </row>
    <row r="627" ht="15.75" customHeight="1">
      <c r="E627" s="35"/>
      <c r="K627" s="35"/>
      <c r="M627" s="35"/>
      <c r="N627" s="35"/>
      <c r="P627" s="35"/>
      <c r="S627" s="35"/>
    </row>
    <row r="628" ht="15.75" customHeight="1">
      <c r="E628" s="35"/>
      <c r="K628" s="35"/>
      <c r="M628" s="35"/>
      <c r="N628" s="35"/>
      <c r="P628" s="35"/>
      <c r="S628" s="35"/>
    </row>
    <row r="629" ht="15.75" customHeight="1">
      <c r="E629" s="35"/>
      <c r="K629" s="35"/>
      <c r="M629" s="35"/>
      <c r="N629" s="35"/>
      <c r="P629" s="35"/>
      <c r="S629" s="35"/>
    </row>
    <row r="630" ht="15.75" customHeight="1">
      <c r="E630" s="35"/>
      <c r="K630" s="35"/>
      <c r="M630" s="35"/>
      <c r="N630" s="35"/>
      <c r="P630" s="35"/>
      <c r="S630" s="35"/>
    </row>
    <row r="631" ht="15.75" customHeight="1">
      <c r="E631" s="35"/>
      <c r="K631" s="35"/>
      <c r="M631" s="35"/>
      <c r="N631" s="35"/>
      <c r="P631" s="35"/>
      <c r="S631" s="35"/>
    </row>
    <row r="632" ht="15.75" customHeight="1">
      <c r="E632" s="35"/>
      <c r="K632" s="35"/>
      <c r="M632" s="35"/>
      <c r="N632" s="35"/>
      <c r="P632" s="35"/>
      <c r="S632" s="35"/>
    </row>
    <row r="633" ht="15.75" customHeight="1">
      <c r="E633" s="35"/>
      <c r="K633" s="35"/>
      <c r="M633" s="35"/>
      <c r="N633" s="35"/>
      <c r="P633" s="35"/>
      <c r="S633" s="35"/>
    </row>
    <row r="634" ht="15.75" customHeight="1">
      <c r="E634" s="35"/>
      <c r="K634" s="35"/>
      <c r="M634" s="35"/>
      <c r="N634" s="35"/>
      <c r="P634" s="35"/>
      <c r="S634" s="35"/>
    </row>
    <row r="635" ht="15.75" customHeight="1">
      <c r="E635" s="35"/>
      <c r="K635" s="35"/>
      <c r="M635" s="35"/>
      <c r="N635" s="35"/>
      <c r="P635" s="35"/>
      <c r="S635" s="35"/>
    </row>
    <row r="636" ht="15.75" customHeight="1">
      <c r="E636" s="35"/>
      <c r="K636" s="35"/>
      <c r="M636" s="35"/>
      <c r="N636" s="35"/>
      <c r="P636" s="35"/>
      <c r="S636" s="35"/>
    </row>
    <row r="637" ht="15.75" customHeight="1">
      <c r="E637" s="35"/>
      <c r="K637" s="35"/>
      <c r="M637" s="35"/>
      <c r="N637" s="35"/>
      <c r="P637" s="35"/>
      <c r="S637" s="35"/>
    </row>
    <row r="638" ht="15.75" customHeight="1">
      <c r="E638" s="35"/>
      <c r="K638" s="35"/>
      <c r="M638" s="35"/>
      <c r="N638" s="35"/>
      <c r="P638" s="35"/>
      <c r="S638" s="35"/>
    </row>
    <row r="639" ht="15.75" customHeight="1">
      <c r="E639" s="35"/>
      <c r="K639" s="35"/>
      <c r="M639" s="35"/>
      <c r="N639" s="35"/>
      <c r="P639" s="35"/>
      <c r="S639" s="35"/>
    </row>
    <row r="640" ht="15.75" customHeight="1">
      <c r="E640" s="35"/>
      <c r="K640" s="35"/>
      <c r="M640" s="35"/>
      <c r="N640" s="35"/>
      <c r="P640" s="35"/>
      <c r="S640" s="35"/>
    </row>
    <row r="641" ht="15.75" customHeight="1">
      <c r="E641" s="35"/>
      <c r="K641" s="35"/>
      <c r="M641" s="35"/>
      <c r="N641" s="35"/>
      <c r="P641" s="35"/>
      <c r="S641" s="35"/>
    </row>
    <row r="642" ht="15.75" customHeight="1">
      <c r="E642" s="35"/>
      <c r="K642" s="35"/>
      <c r="M642" s="35"/>
      <c r="N642" s="35"/>
      <c r="P642" s="35"/>
      <c r="S642" s="35"/>
    </row>
    <row r="643" ht="15.75" customHeight="1">
      <c r="E643" s="35"/>
      <c r="K643" s="35"/>
      <c r="M643" s="35"/>
      <c r="N643" s="35"/>
      <c r="P643" s="35"/>
      <c r="S643" s="35"/>
    </row>
    <row r="644" ht="15.75" customHeight="1">
      <c r="E644" s="35"/>
      <c r="K644" s="35"/>
      <c r="M644" s="35"/>
      <c r="N644" s="35"/>
      <c r="P644" s="35"/>
      <c r="S644" s="35"/>
    </row>
    <row r="645" ht="15.75" customHeight="1">
      <c r="E645" s="35"/>
      <c r="K645" s="35"/>
      <c r="M645" s="35"/>
      <c r="N645" s="35"/>
      <c r="P645" s="35"/>
      <c r="S645" s="35"/>
    </row>
    <row r="646" ht="15.75" customHeight="1">
      <c r="E646" s="35"/>
      <c r="K646" s="35"/>
      <c r="M646" s="35"/>
      <c r="N646" s="35"/>
      <c r="P646" s="35"/>
      <c r="S646" s="35"/>
    </row>
    <row r="647" ht="15.75" customHeight="1">
      <c r="E647" s="35"/>
      <c r="K647" s="35"/>
      <c r="M647" s="35"/>
      <c r="N647" s="35"/>
      <c r="P647" s="35"/>
      <c r="S647" s="35"/>
    </row>
    <row r="648" ht="15.75" customHeight="1">
      <c r="E648" s="35"/>
      <c r="K648" s="35"/>
      <c r="M648" s="35"/>
      <c r="N648" s="35"/>
      <c r="P648" s="35"/>
      <c r="S648" s="35"/>
    </row>
    <row r="649" ht="15.75" customHeight="1">
      <c r="E649" s="35"/>
      <c r="K649" s="35"/>
      <c r="M649" s="35"/>
      <c r="N649" s="35"/>
      <c r="P649" s="35"/>
      <c r="S649" s="35"/>
    </row>
    <row r="650" ht="15.75" customHeight="1">
      <c r="E650" s="35"/>
      <c r="K650" s="35"/>
      <c r="M650" s="35"/>
      <c r="N650" s="35"/>
      <c r="P650" s="35"/>
      <c r="S650" s="35"/>
    </row>
    <row r="651" ht="15.75" customHeight="1">
      <c r="E651" s="35"/>
      <c r="K651" s="35"/>
      <c r="M651" s="35"/>
      <c r="N651" s="35"/>
      <c r="P651" s="35"/>
      <c r="S651" s="35"/>
    </row>
    <row r="652" ht="15.75" customHeight="1">
      <c r="E652" s="35"/>
      <c r="K652" s="35"/>
      <c r="M652" s="35"/>
      <c r="N652" s="35"/>
      <c r="P652" s="35"/>
      <c r="S652" s="35"/>
    </row>
    <row r="653" ht="15.75" customHeight="1">
      <c r="E653" s="35"/>
      <c r="K653" s="35"/>
      <c r="M653" s="35"/>
      <c r="N653" s="35"/>
      <c r="P653" s="35"/>
      <c r="S653" s="35"/>
    </row>
    <row r="654" ht="15.75" customHeight="1">
      <c r="E654" s="35"/>
      <c r="K654" s="35"/>
      <c r="M654" s="35"/>
      <c r="N654" s="35"/>
      <c r="P654" s="35"/>
      <c r="S654" s="35"/>
    </row>
    <row r="655" ht="15.75" customHeight="1">
      <c r="E655" s="35"/>
      <c r="K655" s="35"/>
      <c r="M655" s="35"/>
      <c r="N655" s="35"/>
      <c r="P655" s="35"/>
      <c r="S655" s="35"/>
    </row>
    <row r="656" ht="15.75" customHeight="1">
      <c r="E656" s="35"/>
      <c r="K656" s="35"/>
      <c r="M656" s="35"/>
      <c r="N656" s="35"/>
      <c r="P656" s="35"/>
      <c r="S656" s="35"/>
    </row>
    <row r="657" ht="15.75" customHeight="1">
      <c r="E657" s="35"/>
      <c r="K657" s="35"/>
      <c r="M657" s="35"/>
      <c r="N657" s="35"/>
      <c r="P657" s="35"/>
      <c r="S657" s="35"/>
    </row>
    <row r="658" ht="15.75" customHeight="1">
      <c r="E658" s="35"/>
      <c r="K658" s="35"/>
      <c r="M658" s="35"/>
      <c r="N658" s="35"/>
      <c r="P658" s="35"/>
      <c r="S658" s="35"/>
    </row>
    <row r="659" ht="15.75" customHeight="1">
      <c r="E659" s="35"/>
      <c r="K659" s="35"/>
      <c r="M659" s="35"/>
      <c r="N659" s="35"/>
      <c r="P659" s="35"/>
      <c r="S659" s="35"/>
    </row>
    <row r="660" ht="15.75" customHeight="1">
      <c r="E660" s="35"/>
      <c r="K660" s="35"/>
      <c r="M660" s="35"/>
      <c r="N660" s="35"/>
      <c r="P660" s="35"/>
      <c r="S660" s="35"/>
    </row>
    <row r="661" ht="15.75" customHeight="1">
      <c r="E661" s="35"/>
      <c r="K661" s="35"/>
      <c r="M661" s="35"/>
      <c r="N661" s="35"/>
      <c r="P661" s="35"/>
      <c r="S661" s="35"/>
    </row>
    <row r="662" ht="15.75" customHeight="1">
      <c r="E662" s="35"/>
      <c r="K662" s="35"/>
      <c r="M662" s="35"/>
      <c r="N662" s="35"/>
      <c r="P662" s="35"/>
      <c r="S662" s="35"/>
    </row>
    <row r="663" ht="15.75" customHeight="1">
      <c r="E663" s="35"/>
      <c r="K663" s="35"/>
      <c r="M663" s="35"/>
      <c r="N663" s="35"/>
      <c r="P663" s="35"/>
      <c r="S663" s="35"/>
    </row>
    <row r="664" ht="15.75" customHeight="1">
      <c r="E664" s="35"/>
      <c r="K664" s="35"/>
      <c r="M664" s="35"/>
      <c r="N664" s="35"/>
      <c r="P664" s="35"/>
      <c r="S664" s="35"/>
    </row>
    <row r="665" ht="15.75" customHeight="1">
      <c r="E665" s="35"/>
      <c r="K665" s="35"/>
      <c r="M665" s="35"/>
      <c r="N665" s="35"/>
      <c r="P665" s="35"/>
      <c r="S665" s="35"/>
    </row>
    <row r="666" ht="15.75" customHeight="1">
      <c r="E666" s="35"/>
      <c r="K666" s="35"/>
      <c r="M666" s="35"/>
      <c r="N666" s="35"/>
      <c r="P666" s="35"/>
      <c r="S666" s="35"/>
    </row>
    <row r="667" ht="15.75" customHeight="1">
      <c r="E667" s="35"/>
      <c r="K667" s="35"/>
      <c r="M667" s="35"/>
      <c r="N667" s="35"/>
      <c r="P667" s="35"/>
      <c r="S667" s="35"/>
    </row>
    <row r="668" ht="15.75" customHeight="1">
      <c r="E668" s="35"/>
      <c r="K668" s="35"/>
      <c r="M668" s="35"/>
      <c r="N668" s="35"/>
      <c r="P668" s="35"/>
      <c r="S668" s="35"/>
    </row>
    <row r="669" ht="15.75" customHeight="1">
      <c r="E669" s="35"/>
      <c r="K669" s="35"/>
      <c r="M669" s="35"/>
      <c r="N669" s="35"/>
      <c r="P669" s="35"/>
      <c r="S669" s="35"/>
    </row>
    <row r="670" ht="15.75" customHeight="1">
      <c r="E670" s="35"/>
      <c r="K670" s="35"/>
      <c r="M670" s="35"/>
      <c r="N670" s="35"/>
      <c r="P670" s="35"/>
      <c r="S670" s="35"/>
    </row>
    <row r="671" ht="15.75" customHeight="1">
      <c r="E671" s="35"/>
      <c r="K671" s="35"/>
      <c r="M671" s="35"/>
      <c r="N671" s="35"/>
      <c r="P671" s="35"/>
      <c r="S671" s="35"/>
    </row>
    <row r="672" ht="15.75" customHeight="1">
      <c r="E672" s="35"/>
      <c r="K672" s="35"/>
      <c r="M672" s="35"/>
      <c r="N672" s="35"/>
      <c r="P672" s="35"/>
      <c r="S672" s="35"/>
    </row>
    <row r="673" ht="15.75" customHeight="1">
      <c r="E673" s="35"/>
      <c r="K673" s="35"/>
      <c r="M673" s="35"/>
      <c r="N673" s="35"/>
      <c r="P673" s="35"/>
      <c r="S673" s="35"/>
    </row>
    <row r="674" ht="15.75" customHeight="1">
      <c r="E674" s="35"/>
      <c r="K674" s="35"/>
      <c r="M674" s="35"/>
      <c r="N674" s="35"/>
      <c r="P674" s="35"/>
      <c r="S674" s="35"/>
    </row>
    <row r="675" ht="15.75" customHeight="1">
      <c r="E675" s="35"/>
      <c r="K675" s="35"/>
      <c r="M675" s="35"/>
      <c r="N675" s="35"/>
      <c r="P675" s="35"/>
      <c r="S675" s="35"/>
    </row>
    <row r="676" ht="15.75" customHeight="1">
      <c r="E676" s="35"/>
      <c r="K676" s="35"/>
      <c r="M676" s="35"/>
      <c r="N676" s="35"/>
      <c r="P676" s="35"/>
      <c r="S676" s="35"/>
    </row>
    <row r="677" ht="15.75" customHeight="1">
      <c r="E677" s="35"/>
      <c r="K677" s="35"/>
      <c r="M677" s="35"/>
      <c r="N677" s="35"/>
      <c r="P677" s="35"/>
      <c r="S677" s="35"/>
    </row>
    <row r="678" ht="15.75" customHeight="1">
      <c r="E678" s="35"/>
      <c r="K678" s="35"/>
      <c r="M678" s="35"/>
      <c r="N678" s="35"/>
      <c r="P678" s="35"/>
      <c r="S678" s="35"/>
    </row>
    <row r="679" ht="15.75" customHeight="1">
      <c r="E679" s="35"/>
      <c r="K679" s="35"/>
      <c r="M679" s="35"/>
      <c r="N679" s="35"/>
      <c r="P679" s="35"/>
      <c r="S679" s="35"/>
    </row>
    <row r="680" ht="15.75" customHeight="1">
      <c r="E680" s="35"/>
      <c r="K680" s="35"/>
      <c r="M680" s="35"/>
      <c r="N680" s="35"/>
      <c r="P680" s="35"/>
      <c r="S680" s="35"/>
    </row>
    <row r="681" ht="15.75" customHeight="1">
      <c r="E681" s="35"/>
      <c r="K681" s="35"/>
      <c r="M681" s="35"/>
      <c r="N681" s="35"/>
      <c r="P681" s="35"/>
      <c r="S681" s="35"/>
    </row>
    <row r="682" ht="15.75" customHeight="1">
      <c r="E682" s="35"/>
      <c r="K682" s="35"/>
      <c r="M682" s="35"/>
      <c r="N682" s="35"/>
      <c r="P682" s="35"/>
      <c r="S682" s="35"/>
    </row>
    <row r="683" ht="15.75" customHeight="1">
      <c r="E683" s="35"/>
      <c r="K683" s="35"/>
      <c r="M683" s="35"/>
      <c r="N683" s="35"/>
      <c r="P683" s="35"/>
      <c r="S683" s="35"/>
    </row>
    <row r="684" ht="15.75" customHeight="1">
      <c r="E684" s="35"/>
      <c r="K684" s="35"/>
      <c r="M684" s="35"/>
      <c r="N684" s="35"/>
      <c r="P684" s="35"/>
      <c r="S684" s="35"/>
    </row>
    <row r="685" ht="15.75" customHeight="1">
      <c r="E685" s="35"/>
      <c r="K685" s="35"/>
      <c r="M685" s="35"/>
      <c r="N685" s="35"/>
      <c r="P685" s="35"/>
      <c r="S685" s="35"/>
    </row>
    <row r="686" ht="15.75" customHeight="1">
      <c r="E686" s="35"/>
      <c r="K686" s="35"/>
      <c r="M686" s="35"/>
      <c r="N686" s="35"/>
      <c r="P686" s="35"/>
      <c r="S686" s="35"/>
    </row>
    <row r="687" ht="15.75" customHeight="1">
      <c r="E687" s="35"/>
      <c r="K687" s="35"/>
      <c r="M687" s="35"/>
      <c r="N687" s="35"/>
      <c r="P687" s="35"/>
      <c r="S687" s="35"/>
    </row>
    <row r="688" ht="15.75" customHeight="1">
      <c r="E688" s="35"/>
      <c r="K688" s="35"/>
      <c r="M688" s="35"/>
      <c r="N688" s="35"/>
      <c r="P688" s="35"/>
      <c r="S688" s="35"/>
    </row>
    <row r="689" ht="15.75" customHeight="1">
      <c r="E689" s="35"/>
      <c r="K689" s="35"/>
      <c r="M689" s="35"/>
      <c r="N689" s="35"/>
      <c r="P689" s="35"/>
      <c r="S689" s="35"/>
    </row>
    <row r="690" ht="15.75" customHeight="1">
      <c r="E690" s="35"/>
      <c r="K690" s="35"/>
      <c r="M690" s="35"/>
      <c r="N690" s="35"/>
      <c r="P690" s="35"/>
      <c r="S690" s="35"/>
    </row>
    <row r="691" ht="15.75" customHeight="1">
      <c r="E691" s="35"/>
      <c r="K691" s="35"/>
      <c r="M691" s="35"/>
      <c r="N691" s="35"/>
      <c r="P691" s="35"/>
      <c r="S691" s="35"/>
    </row>
    <row r="692" ht="15.75" customHeight="1">
      <c r="E692" s="35"/>
      <c r="K692" s="35"/>
      <c r="M692" s="35"/>
      <c r="N692" s="35"/>
      <c r="P692" s="35"/>
      <c r="S692" s="35"/>
    </row>
    <row r="693" ht="15.75" customHeight="1">
      <c r="E693" s="35"/>
      <c r="K693" s="35"/>
      <c r="M693" s="35"/>
      <c r="N693" s="35"/>
      <c r="P693" s="35"/>
      <c r="S693" s="35"/>
    </row>
    <row r="694" ht="15.75" customHeight="1">
      <c r="E694" s="35"/>
      <c r="K694" s="35"/>
      <c r="M694" s="35"/>
      <c r="N694" s="35"/>
      <c r="P694" s="35"/>
      <c r="S694" s="35"/>
    </row>
    <row r="695" ht="15.75" customHeight="1">
      <c r="E695" s="35"/>
      <c r="K695" s="35"/>
      <c r="M695" s="35"/>
      <c r="N695" s="35"/>
      <c r="P695" s="35"/>
      <c r="S695" s="35"/>
    </row>
    <row r="696" ht="15.75" customHeight="1">
      <c r="E696" s="35"/>
      <c r="K696" s="35"/>
      <c r="M696" s="35"/>
      <c r="N696" s="35"/>
      <c r="P696" s="35"/>
      <c r="S696" s="35"/>
    </row>
    <row r="697" ht="15.75" customHeight="1">
      <c r="E697" s="35"/>
      <c r="K697" s="35"/>
      <c r="M697" s="35"/>
      <c r="N697" s="35"/>
      <c r="P697" s="35"/>
      <c r="S697" s="35"/>
    </row>
    <row r="698" ht="15.75" customHeight="1">
      <c r="E698" s="35"/>
      <c r="K698" s="35"/>
      <c r="M698" s="35"/>
      <c r="N698" s="35"/>
      <c r="P698" s="35"/>
      <c r="S698" s="35"/>
    </row>
    <row r="699" ht="15.75" customHeight="1">
      <c r="E699" s="35"/>
      <c r="K699" s="35"/>
      <c r="M699" s="35"/>
      <c r="N699" s="35"/>
      <c r="P699" s="35"/>
      <c r="S699" s="35"/>
    </row>
    <row r="700" ht="15.75" customHeight="1">
      <c r="E700" s="35"/>
      <c r="K700" s="35"/>
      <c r="M700" s="35"/>
      <c r="N700" s="35"/>
      <c r="P700" s="35"/>
      <c r="S700" s="35"/>
    </row>
    <row r="701" ht="15.75" customHeight="1">
      <c r="E701" s="35"/>
      <c r="K701" s="35"/>
      <c r="M701" s="35"/>
      <c r="N701" s="35"/>
      <c r="P701" s="35"/>
      <c r="S701" s="35"/>
    </row>
    <row r="702" ht="15.75" customHeight="1">
      <c r="E702" s="35"/>
      <c r="K702" s="35"/>
      <c r="M702" s="35"/>
      <c r="N702" s="35"/>
      <c r="P702" s="35"/>
      <c r="S702" s="35"/>
    </row>
    <row r="703" ht="15.75" customHeight="1">
      <c r="E703" s="35"/>
      <c r="K703" s="35"/>
      <c r="M703" s="35"/>
      <c r="N703" s="35"/>
      <c r="P703" s="35"/>
      <c r="S703" s="35"/>
    </row>
    <row r="704" ht="15.75" customHeight="1">
      <c r="E704" s="35"/>
      <c r="K704" s="35"/>
      <c r="M704" s="35"/>
      <c r="N704" s="35"/>
      <c r="P704" s="35"/>
      <c r="S704" s="35"/>
    </row>
    <row r="705" ht="15.75" customHeight="1">
      <c r="E705" s="35"/>
      <c r="K705" s="35"/>
      <c r="M705" s="35"/>
      <c r="N705" s="35"/>
      <c r="P705" s="35"/>
      <c r="S705" s="35"/>
    </row>
    <row r="706" ht="15.75" customHeight="1">
      <c r="E706" s="35"/>
      <c r="K706" s="35"/>
      <c r="M706" s="35"/>
      <c r="N706" s="35"/>
      <c r="P706" s="35"/>
      <c r="S706" s="35"/>
    </row>
    <row r="707" ht="15.75" customHeight="1">
      <c r="E707" s="35"/>
      <c r="K707" s="35"/>
      <c r="M707" s="35"/>
      <c r="N707" s="35"/>
      <c r="P707" s="35"/>
      <c r="S707" s="35"/>
    </row>
    <row r="708" ht="15.75" customHeight="1">
      <c r="E708" s="35"/>
      <c r="K708" s="35"/>
      <c r="M708" s="35"/>
      <c r="N708" s="35"/>
      <c r="P708" s="35"/>
      <c r="S708" s="35"/>
    </row>
    <row r="709" ht="15.75" customHeight="1">
      <c r="E709" s="35"/>
      <c r="K709" s="35"/>
      <c r="M709" s="35"/>
      <c r="N709" s="35"/>
      <c r="P709" s="35"/>
      <c r="S709" s="35"/>
    </row>
    <row r="710" ht="15.75" customHeight="1">
      <c r="E710" s="35"/>
      <c r="K710" s="35"/>
      <c r="M710" s="35"/>
      <c r="N710" s="35"/>
      <c r="P710" s="35"/>
      <c r="S710" s="35"/>
    </row>
    <row r="711" ht="15.75" customHeight="1">
      <c r="E711" s="35"/>
      <c r="K711" s="35"/>
      <c r="M711" s="35"/>
      <c r="N711" s="35"/>
      <c r="P711" s="35"/>
      <c r="S711" s="35"/>
    </row>
    <row r="712" ht="15.75" customHeight="1">
      <c r="E712" s="35"/>
      <c r="K712" s="35"/>
      <c r="M712" s="35"/>
      <c r="N712" s="35"/>
      <c r="P712" s="35"/>
      <c r="S712" s="35"/>
    </row>
    <row r="713" ht="15.75" customHeight="1">
      <c r="E713" s="35"/>
      <c r="K713" s="35"/>
      <c r="M713" s="35"/>
      <c r="N713" s="35"/>
      <c r="P713" s="35"/>
      <c r="S713" s="35"/>
    </row>
    <row r="714" ht="15.75" customHeight="1">
      <c r="E714" s="35"/>
      <c r="K714" s="35"/>
      <c r="M714" s="35"/>
      <c r="N714" s="35"/>
      <c r="P714" s="35"/>
      <c r="S714" s="35"/>
    </row>
    <row r="715" ht="15.75" customHeight="1">
      <c r="E715" s="35"/>
      <c r="K715" s="35"/>
      <c r="M715" s="35"/>
      <c r="N715" s="35"/>
      <c r="P715" s="35"/>
      <c r="S715" s="35"/>
    </row>
    <row r="716" ht="15.75" customHeight="1">
      <c r="E716" s="35"/>
      <c r="K716" s="35"/>
      <c r="M716" s="35"/>
      <c r="N716" s="35"/>
      <c r="P716" s="35"/>
      <c r="S716" s="35"/>
    </row>
    <row r="717" ht="15.75" customHeight="1">
      <c r="E717" s="35"/>
      <c r="K717" s="35"/>
      <c r="M717" s="35"/>
      <c r="N717" s="35"/>
      <c r="P717" s="35"/>
      <c r="S717" s="35"/>
    </row>
    <row r="718" ht="15.75" customHeight="1">
      <c r="E718" s="35"/>
      <c r="K718" s="35"/>
      <c r="M718" s="35"/>
      <c r="N718" s="35"/>
      <c r="P718" s="35"/>
      <c r="S718" s="35"/>
    </row>
    <row r="719" ht="15.75" customHeight="1">
      <c r="E719" s="35"/>
      <c r="K719" s="35"/>
      <c r="M719" s="35"/>
      <c r="N719" s="35"/>
      <c r="P719" s="35"/>
      <c r="S719" s="35"/>
    </row>
    <row r="720" ht="15.75" customHeight="1">
      <c r="E720" s="35"/>
      <c r="K720" s="35"/>
      <c r="M720" s="35"/>
      <c r="N720" s="35"/>
      <c r="P720" s="35"/>
      <c r="S720" s="35"/>
    </row>
    <row r="721" ht="15.75" customHeight="1">
      <c r="E721" s="35"/>
      <c r="K721" s="35"/>
      <c r="M721" s="35"/>
      <c r="N721" s="35"/>
      <c r="P721" s="35"/>
      <c r="S721" s="35"/>
    </row>
    <row r="722" ht="15.75" customHeight="1">
      <c r="E722" s="35"/>
      <c r="K722" s="35"/>
      <c r="M722" s="35"/>
      <c r="N722" s="35"/>
      <c r="P722" s="35"/>
      <c r="S722" s="35"/>
    </row>
    <row r="723" ht="15.75" customHeight="1">
      <c r="E723" s="35"/>
      <c r="K723" s="35"/>
      <c r="M723" s="35"/>
      <c r="N723" s="35"/>
      <c r="P723" s="35"/>
      <c r="S723" s="35"/>
    </row>
    <row r="724" ht="15.75" customHeight="1">
      <c r="E724" s="35"/>
      <c r="K724" s="35"/>
      <c r="M724" s="35"/>
      <c r="N724" s="35"/>
      <c r="P724" s="35"/>
      <c r="S724" s="35"/>
    </row>
    <row r="725" ht="15.75" customHeight="1">
      <c r="E725" s="35"/>
      <c r="K725" s="35"/>
      <c r="M725" s="35"/>
      <c r="N725" s="35"/>
      <c r="P725" s="35"/>
      <c r="S725" s="35"/>
    </row>
    <row r="726" ht="15.75" customHeight="1">
      <c r="E726" s="35"/>
      <c r="K726" s="35"/>
      <c r="M726" s="35"/>
      <c r="N726" s="35"/>
      <c r="P726" s="35"/>
      <c r="S726" s="35"/>
    </row>
    <row r="727" ht="15.75" customHeight="1">
      <c r="E727" s="35"/>
      <c r="K727" s="35"/>
      <c r="M727" s="35"/>
      <c r="N727" s="35"/>
      <c r="P727" s="35"/>
      <c r="S727" s="35"/>
    </row>
    <row r="728" ht="15.75" customHeight="1">
      <c r="E728" s="35"/>
      <c r="K728" s="35"/>
      <c r="M728" s="35"/>
      <c r="N728" s="35"/>
      <c r="P728" s="35"/>
      <c r="S728" s="35"/>
    </row>
    <row r="729" ht="15.75" customHeight="1">
      <c r="E729" s="35"/>
      <c r="K729" s="35"/>
      <c r="M729" s="35"/>
      <c r="N729" s="35"/>
      <c r="P729" s="35"/>
      <c r="S729" s="35"/>
    </row>
    <row r="730" ht="15.75" customHeight="1">
      <c r="E730" s="35"/>
      <c r="K730" s="35"/>
      <c r="M730" s="35"/>
      <c r="N730" s="35"/>
      <c r="P730" s="35"/>
      <c r="S730" s="35"/>
    </row>
    <row r="731" ht="15.75" customHeight="1">
      <c r="E731" s="35"/>
      <c r="K731" s="35"/>
      <c r="M731" s="35"/>
      <c r="N731" s="35"/>
      <c r="P731" s="35"/>
      <c r="S731" s="35"/>
    </row>
    <row r="732" ht="15.75" customHeight="1">
      <c r="E732" s="35"/>
      <c r="K732" s="35"/>
      <c r="M732" s="35"/>
      <c r="N732" s="35"/>
      <c r="P732" s="35"/>
      <c r="S732" s="35"/>
    </row>
    <row r="733" ht="15.75" customHeight="1">
      <c r="E733" s="35"/>
      <c r="K733" s="35"/>
      <c r="M733" s="35"/>
      <c r="N733" s="35"/>
      <c r="P733" s="35"/>
      <c r="S733" s="35"/>
    </row>
    <row r="734" ht="15.75" customHeight="1">
      <c r="E734" s="35"/>
      <c r="K734" s="35"/>
      <c r="M734" s="35"/>
      <c r="N734" s="35"/>
      <c r="P734" s="35"/>
      <c r="S734" s="35"/>
    </row>
    <row r="735" ht="15.75" customHeight="1">
      <c r="E735" s="35"/>
      <c r="K735" s="35"/>
      <c r="M735" s="35"/>
      <c r="N735" s="35"/>
      <c r="P735" s="35"/>
      <c r="S735" s="35"/>
    </row>
    <row r="736" ht="15.75" customHeight="1">
      <c r="E736" s="35"/>
      <c r="K736" s="35"/>
      <c r="M736" s="35"/>
      <c r="N736" s="35"/>
      <c r="P736" s="35"/>
      <c r="S736" s="35"/>
    </row>
    <row r="737" ht="15.75" customHeight="1">
      <c r="E737" s="35"/>
      <c r="K737" s="35"/>
      <c r="M737" s="35"/>
      <c r="N737" s="35"/>
      <c r="P737" s="35"/>
      <c r="S737" s="35"/>
    </row>
    <row r="738" ht="15.75" customHeight="1">
      <c r="E738" s="35"/>
      <c r="K738" s="35"/>
      <c r="M738" s="35"/>
      <c r="N738" s="35"/>
      <c r="P738" s="35"/>
      <c r="S738" s="35"/>
    </row>
    <row r="739" ht="15.75" customHeight="1">
      <c r="E739" s="35"/>
      <c r="K739" s="35"/>
      <c r="M739" s="35"/>
      <c r="N739" s="35"/>
      <c r="P739" s="35"/>
      <c r="S739" s="35"/>
    </row>
    <row r="740" ht="15.75" customHeight="1">
      <c r="E740" s="35"/>
      <c r="K740" s="35"/>
      <c r="M740" s="35"/>
      <c r="N740" s="35"/>
      <c r="P740" s="35"/>
      <c r="S740" s="35"/>
    </row>
    <row r="741" ht="15.75" customHeight="1">
      <c r="E741" s="35"/>
      <c r="K741" s="35"/>
      <c r="M741" s="35"/>
      <c r="N741" s="35"/>
      <c r="P741" s="35"/>
      <c r="S741" s="35"/>
    </row>
    <row r="742" ht="15.75" customHeight="1">
      <c r="E742" s="35"/>
      <c r="K742" s="35"/>
      <c r="M742" s="35"/>
      <c r="N742" s="35"/>
      <c r="P742" s="35"/>
      <c r="S742" s="35"/>
    </row>
    <row r="743" ht="15.75" customHeight="1">
      <c r="E743" s="35"/>
      <c r="K743" s="35"/>
      <c r="M743" s="35"/>
      <c r="N743" s="35"/>
      <c r="P743" s="35"/>
      <c r="S743" s="35"/>
    </row>
    <row r="744" ht="15.75" customHeight="1">
      <c r="E744" s="35"/>
      <c r="K744" s="35"/>
      <c r="M744" s="35"/>
      <c r="N744" s="35"/>
      <c r="P744" s="35"/>
      <c r="S744" s="35"/>
    </row>
    <row r="745" ht="15.75" customHeight="1">
      <c r="E745" s="35"/>
      <c r="K745" s="35"/>
      <c r="M745" s="35"/>
      <c r="N745" s="35"/>
      <c r="P745" s="35"/>
      <c r="S745" s="35"/>
    </row>
    <row r="746" ht="15.75" customHeight="1">
      <c r="E746" s="35"/>
      <c r="K746" s="35"/>
      <c r="M746" s="35"/>
      <c r="N746" s="35"/>
      <c r="P746" s="35"/>
      <c r="S746" s="35"/>
    </row>
    <row r="747" ht="15.75" customHeight="1">
      <c r="E747" s="35"/>
      <c r="K747" s="35"/>
      <c r="M747" s="35"/>
      <c r="N747" s="35"/>
      <c r="P747" s="35"/>
      <c r="S747" s="35"/>
    </row>
    <row r="748" ht="15.75" customHeight="1">
      <c r="E748" s="35"/>
      <c r="K748" s="35"/>
      <c r="M748" s="35"/>
      <c r="N748" s="35"/>
      <c r="P748" s="35"/>
      <c r="S748" s="35"/>
    </row>
    <row r="749" ht="15.75" customHeight="1">
      <c r="E749" s="35"/>
      <c r="K749" s="35"/>
      <c r="M749" s="35"/>
      <c r="N749" s="35"/>
      <c r="P749" s="35"/>
      <c r="S749" s="35"/>
    </row>
    <row r="750" ht="15.75" customHeight="1">
      <c r="E750" s="35"/>
      <c r="K750" s="35"/>
      <c r="M750" s="35"/>
      <c r="N750" s="35"/>
      <c r="P750" s="35"/>
      <c r="S750" s="35"/>
    </row>
    <row r="751" ht="15.75" customHeight="1">
      <c r="E751" s="35"/>
      <c r="K751" s="35"/>
      <c r="M751" s="35"/>
      <c r="N751" s="35"/>
      <c r="P751" s="35"/>
      <c r="S751" s="35"/>
    </row>
    <row r="752" ht="15.75" customHeight="1">
      <c r="E752" s="35"/>
      <c r="K752" s="35"/>
      <c r="M752" s="35"/>
      <c r="N752" s="35"/>
      <c r="P752" s="35"/>
      <c r="S752" s="35"/>
    </row>
    <row r="753" ht="15.75" customHeight="1">
      <c r="E753" s="35"/>
      <c r="K753" s="35"/>
      <c r="M753" s="35"/>
      <c r="N753" s="35"/>
      <c r="P753" s="35"/>
      <c r="S753" s="35"/>
    </row>
    <row r="754" ht="15.75" customHeight="1">
      <c r="E754" s="35"/>
      <c r="K754" s="35"/>
      <c r="M754" s="35"/>
      <c r="N754" s="35"/>
      <c r="P754" s="35"/>
      <c r="S754" s="35"/>
    </row>
    <row r="755" ht="15.75" customHeight="1">
      <c r="E755" s="35"/>
      <c r="K755" s="35"/>
      <c r="M755" s="35"/>
      <c r="N755" s="35"/>
      <c r="P755" s="35"/>
      <c r="S755" s="35"/>
    </row>
    <row r="756" ht="15.75" customHeight="1">
      <c r="E756" s="35"/>
      <c r="K756" s="35"/>
      <c r="M756" s="35"/>
      <c r="N756" s="35"/>
      <c r="P756" s="35"/>
      <c r="S756" s="35"/>
    </row>
    <row r="757" ht="15.75" customHeight="1">
      <c r="E757" s="35"/>
      <c r="K757" s="35"/>
      <c r="M757" s="35"/>
      <c r="N757" s="35"/>
      <c r="P757" s="35"/>
      <c r="S757" s="35"/>
    </row>
    <row r="758" ht="15.75" customHeight="1">
      <c r="E758" s="35"/>
      <c r="K758" s="35"/>
      <c r="M758" s="35"/>
      <c r="N758" s="35"/>
      <c r="P758" s="35"/>
      <c r="S758" s="35"/>
    </row>
    <row r="759" ht="15.75" customHeight="1">
      <c r="E759" s="35"/>
      <c r="K759" s="35"/>
      <c r="M759" s="35"/>
      <c r="N759" s="35"/>
      <c r="P759" s="35"/>
      <c r="S759" s="35"/>
    </row>
    <row r="760" ht="15.75" customHeight="1">
      <c r="E760" s="35"/>
      <c r="K760" s="35"/>
      <c r="M760" s="35"/>
      <c r="N760" s="35"/>
      <c r="P760" s="35"/>
      <c r="S760" s="35"/>
    </row>
    <row r="761" ht="15.75" customHeight="1">
      <c r="E761" s="35"/>
      <c r="K761" s="35"/>
      <c r="M761" s="35"/>
      <c r="N761" s="35"/>
      <c r="P761" s="35"/>
      <c r="S761" s="35"/>
    </row>
    <row r="762" ht="15.75" customHeight="1">
      <c r="E762" s="35"/>
      <c r="K762" s="35"/>
      <c r="M762" s="35"/>
      <c r="N762" s="35"/>
      <c r="P762" s="35"/>
      <c r="S762" s="35"/>
    </row>
    <row r="763" ht="15.75" customHeight="1">
      <c r="E763" s="35"/>
      <c r="K763" s="35"/>
      <c r="M763" s="35"/>
      <c r="N763" s="35"/>
      <c r="P763" s="35"/>
      <c r="S763" s="35"/>
    </row>
    <row r="764" ht="15.75" customHeight="1">
      <c r="E764" s="35"/>
      <c r="K764" s="35"/>
      <c r="M764" s="35"/>
      <c r="N764" s="35"/>
      <c r="P764" s="35"/>
      <c r="S764" s="35"/>
    </row>
    <row r="765" ht="15.75" customHeight="1">
      <c r="E765" s="35"/>
      <c r="K765" s="35"/>
      <c r="M765" s="35"/>
      <c r="N765" s="35"/>
      <c r="P765" s="35"/>
      <c r="S765" s="35"/>
    </row>
    <row r="766" ht="15.75" customHeight="1">
      <c r="E766" s="35"/>
      <c r="K766" s="35"/>
      <c r="M766" s="35"/>
      <c r="N766" s="35"/>
      <c r="P766" s="35"/>
      <c r="S766" s="35"/>
    </row>
    <row r="767" ht="15.75" customHeight="1">
      <c r="E767" s="35"/>
      <c r="K767" s="35"/>
      <c r="M767" s="35"/>
      <c r="N767" s="35"/>
      <c r="P767" s="35"/>
      <c r="S767" s="35"/>
    </row>
    <row r="768" ht="15.75" customHeight="1">
      <c r="E768" s="35"/>
      <c r="K768" s="35"/>
      <c r="M768" s="35"/>
      <c r="N768" s="35"/>
      <c r="P768" s="35"/>
      <c r="S768" s="35"/>
    </row>
    <row r="769" ht="15.75" customHeight="1">
      <c r="E769" s="35"/>
      <c r="K769" s="35"/>
      <c r="M769" s="35"/>
      <c r="N769" s="35"/>
      <c r="P769" s="35"/>
      <c r="S769" s="35"/>
    </row>
    <row r="770" ht="15.75" customHeight="1">
      <c r="E770" s="35"/>
      <c r="K770" s="35"/>
      <c r="M770" s="35"/>
      <c r="N770" s="35"/>
      <c r="P770" s="35"/>
      <c r="S770" s="35"/>
    </row>
    <row r="771" ht="15.75" customHeight="1">
      <c r="E771" s="35"/>
      <c r="K771" s="35"/>
      <c r="M771" s="35"/>
      <c r="N771" s="35"/>
      <c r="P771" s="35"/>
      <c r="S771" s="35"/>
    </row>
    <row r="772" ht="15.75" customHeight="1">
      <c r="E772" s="35"/>
      <c r="K772" s="35"/>
      <c r="M772" s="35"/>
      <c r="N772" s="35"/>
      <c r="P772" s="35"/>
      <c r="S772" s="35"/>
    </row>
    <row r="773" ht="15.75" customHeight="1">
      <c r="E773" s="35"/>
      <c r="K773" s="35"/>
      <c r="M773" s="35"/>
      <c r="N773" s="35"/>
      <c r="P773" s="35"/>
      <c r="S773" s="35"/>
    </row>
    <row r="774" ht="15.75" customHeight="1">
      <c r="E774" s="35"/>
      <c r="K774" s="35"/>
      <c r="M774" s="35"/>
      <c r="N774" s="35"/>
      <c r="P774" s="35"/>
      <c r="S774" s="35"/>
    </row>
    <row r="775" ht="15.75" customHeight="1">
      <c r="E775" s="35"/>
      <c r="K775" s="35"/>
      <c r="M775" s="35"/>
      <c r="N775" s="35"/>
      <c r="P775" s="35"/>
      <c r="S775" s="35"/>
    </row>
    <row r="776" ht="15.75" customHeight="1">
      <c r="E776" s="35"/>
      <c r="K776" s="35"/>
      <c r="M776" s="35"/>
      <c r="N776" s="35"/>
      <c r="P776" s="35"/>
      <c r="S776" s="35"/>
    </row>
    <row r="777" ht="15.75" customHeight="1">
      <c r="E777" s="35"/>
      <c r="K777" s="35"/>
      <c r="M777" s="35"/>
      <c r="N777" s="35"/>
      <c r="P777" s="35"/>
      <c r="S777" s="35"/>
    </row>
    <row r="778" ht="15.75" customHeight="1">
      <c r="E778" s="35"/>
      <c r="K778" s="35"/>
      <c r="M778" s="35"/>
      <c r="N778" s="35"/>
      <c r="P778" s="35"/>
      <c r="S778" s="35"/>
    </row>
    <row r="779" ht="15.75" customHeight="1">
      <c r="E779" s="35"/>
      <c r="K779" s="35"/>
      <c r="M779" s="35"/>
      <c r="N779" s="35"/>
      <c r="P779" s="35"/>
      <c r="S779" s="35"/>
    </row>
    <row r="780" ht="15.75" customHeight="1">
      <c r="E780" s="35"/>
      <c r="K780" s="35"/>
      <c r="M780" s="35"/>
      <c r="N780" s="35"/>
      <c r="P780" s="35"/>
      <c r="S780" s="35"/>
    </row>
    <row r="781" ht="15.75" customHeight="1">
      <c r="E781" s="35"/>
      <c r="K781" s="35"/>
      <c r="M781" s="35"/>
      <c r="N781" s="35"/>
      <c r="P781" s="35"/>
      <c r="S781" s="35"/>
    </row>
    <row r="782" ht="15.75" customHeight="1">
      <c r="E782" s="35"/>
      <c r="K782" s="35"/>
      <c r="M782" s="35"/>
      <c r="N782" s="35"/>
      <c r="P782" s="35"/>
      <c r="S782" s="35"/>
    </row>
    <row r="783" ht="15.75" customHeight="1">
      <c r="E783" s="35"/>
      <c r="K783" s="35"/>
      <c r="M783" s="35"/>
      <c r="N783" s="35"/>
      <c r="P783" s="35"/>
      <c r="S783" s="35"/>
    </row>
    <row r="784" ht="15.75" customHeight="1">
      <c r="E784" s="35"/>
      <c r="K784" s="35"/>
      <c r="M784" s="35"/>
      <c r="N784" s="35"/>
      <c r="P784" s="35"/>
      <c r="S784" s="35"/>
    </row>
    <row r="785" ht="15.75" customHeight="1">
      <c r="E785" s="35"/>
      <c r="K785" s="35"/>
      <c r="M785" s="35"/>
      <c r="N785" s="35"/>
      <c r="P785" s="35"/>
      <c r="S785" s="35"/>
    </row>
    <row r="786" ht="15.75" customHeight="1">
      <c r="E786" s="35"/>
      <c r="K786" s="35"/>
      <c r="M786" s="35"/>
      <c r="N786" s="35"/>
      <c r="P786" s="35"/>
      <c r="S786" s="35"/>
    </row>
    <row r="787" ht="15.75" customHeight="1">
      <c r="E787" s="35"/>
      <c r="K787" s="35"/>
      <c r="M787" s="35"/>
      <c r="N787" s="35"/>
      <c r="P787" s="35"/>
      <c r="S787" s="35"/>
    </row>
    <row r="788" ht="15.75" customHeight="1">
      <c r="E788" s="35"/>
      <c r="K788" s="35"/>
      <c r="M788" s="35"/>
      <c r="N788" s="35"/>
      <c r="P788" s="35"/>
      <c r="S788" s="35"/>
    </row>
    <row r="789" ht="15.75" customHeight="1">
      <c r="E789" s="35"/>
      <c r="K789" s="35"/>
      <c r="M789" s="35"/>
      <c r="N789" s="35"/>
      <c r="P789" s="35"/>
      <c r="S789" s="35"/>
    </row>
    <row r="790" ht="15.75" customHeight="1">
      <c r="E790" s="35"/>
      <c r="K790" s="35"/>
      <c r="M790" s="35"/>
      <c r="N790" s="35"/>
      <c r="P790" s="35"/>
      <c r="S790" s="35"/>
    </row>
    <row r="791" ht="15.75" customHeight="1">
      <c r="E791" s="35"/>
      <c r="K791" s="35"/>
      <c r="M791" s="35"/>
      <c r="N791" s="35"/>
      <c r="P791" s="35"/>
      <c r="S791" s="35"/>
    </row>
    <row r="792" ht="15.75" customHeight="1">
      <c r="E792" s="35"/>
      <c r="K792" s="35"/>
      <c r="M792" s="35"/>
      <c r="N792" s="35"/>
      <c r="P792" s="35"/>
      <c r="S792" s="35"/>
    </row>
    <row r="793" ht="15.75" customHeight="1">
      <c r="E793" s="35"/>
      <c r="K793" s="35"/>
      <c r="M793" s="35"/>
      <c r="N793" s="35"/>
      <c r="P793" s="35"/>
      <c r="S793" s="35"/>
    </row>
    <row r="794" ht="15.75" customHeight="1">
      <c r="E794" s="35"/>
      <c r="K794" s="35"/>
      <c r="M794" s="35"/>
      <c r="N794" s="35"/>
      <c r="P794" s="35"/>
      <c r="S794" s="35"/>
    </row>
    <row r="795" ht="15.75" customHeight="1">
      <c r="E795" s="35"/>
      <c r="K795" s="35"/>
      <c r="M795" s="35"/>
      <c r="N795" s="35"/>
      <c r="P795" s="35"/>
      <c r="S795" s="35"/>
    </row>
    <row r="796" ht="15.75" customHeight="1">
      <c r="E796" s="35"/>
      <c r="K796" s="35"/>
      <c r="M796" s="35"/>
      <c r="N796" s="35"/>
      <c r="P796" s="35"/>
      <c r="S796" s="35"/>
    </row>
    <row r="797" ht="15.75" customHeight="1">
      <c r="E797" s="35"/>
      <c r="K797" s="35"/>
      <c r="M797" s="35"/>
      <c r="N797" s="35"/>
      <c r="P797" s="35"/>
      <c r="S797" s="35"/>
    </row>
    <row r="798" ht="15.75" customHeight="1">
      <c r="E798" s="35"/>
      <c r="K798" s="35"/>
      <c r="M798" s="35"/>
      <c r="N798" s="35"/>
      <c r="P798" s="35"/>
      <c r="S798" s="35"/>
    </row>
    <row r="799" ht="15.75" customHeight="1">
      <c r="E799" s="35"/>
      <c r="K799" s="35"/>
      <c r="M799" s="35"/>
      <c r="N799" s="35"/>
      <c r="P799" s="35"/>
      <c r="S799" s="35"/>
    </row>
    <row r="800" ht="15.75" customHeight="1">
      <c r="E800" s="35"/>
      <c r="K800" s="35"/>
      <c r="M800" s="35"/>
      <c r="N800" s="35"/>
      <c r="P800" s="35"/>
      <c r="S800" s="35"/>
    </row>
    <row r="801" ht="15.75" customHeight="1">
      <c r="E801" s="35"/>
      <c r="K801" s="35"/>
      <c r="M801" s="35"/>
      <c r="N801" s="35"/>
      <c r="P801" s="35"/>
      <c r="S801" s="35"/>
    </row>
    <row r="802" ht="15.75" customHeight="1">
      <c r="E802" s="35"/>
      <c r="K802" s="35"/>
      <c r="M802" s="35"/>
      <c r="N802" s="35"/>
      <c r="P802" s="35"/>
      <c r="S802" s="35"/>
    </row>
    <row r="803" ht="15.75" customHeight="1">
      <c r="E803" s="35"/>
      <c r="K803" s="35"/>
      <c r="M803" s="35"/>
      <c r="N803" s="35"/>
      <c r="P803" s="35"/>
      <c r="S803" s="35"/>
    </row>
    <row r="804" ht="15.75" customHeight="1">
      <c r="E804" s="35"/>
      <c r="K804" s="35"/>
      <c r="M804" s="35"/>
      <c r="N804" s="35"/>
      <c r="P804" s="35"/>
      <c r="S804" s="35"/>
    </row>
    <row r="805" ht="15.75" customHeight="1">
      <c r="E805" s="35"/>
      <c r="K805" s="35"/>
      <c r="M805" s="35"/>
      <c r="N805" s="35"/>
      <c r="P805" s="35"/>
      <c r="S805" s="35"/>
    </row>
    <row r="806" ht="15.75" customHeight="1">
      <c r="E806" s="35"/>
      <c r="K806" s="35"/>
      <c r="M806" s="35"/>
      <c r="N806" s="35"/>
      <c r="P806" s="35"/>
      <c r="S806" s="35"/>
    </row>
    <row r="807" ht="15.75" customHeight="1">
      <c r="E807" s="35"/>
      <c r="K807" s="35"/>
      <c r="M807" s="35"/>
      <c r="N807" s="35"/>
      <c r="P807" s="35"/>
      <c r="S807" s="35"/>
    </row>
    <row r="808" ht="15.75" customHeight="1">
      <c r="E808" s="35"/>
      <c r="K808" s="35"/>
      <c r="M808" s="35"/>
      <c r="N808" s="35"/>
      <c r="P808" s="35"/>
      <c r="S808" s="35"/>
    </row>
    <row r="809" ht="15.75" customHeight="1">
      <c r="E809" s="35"/>
      <c r="K809" s="35"/>
      <c r="M809" s="35"/>
      <c r="N809" s="35"/>
      <c r="P809" s="35"/>
      <c r="S809" s="35"/>
    </row>
    <row r="810" ht="15.75" customHeight="1">
      <c r="E810" s="35"/>
      <c r="K810" s="35"/>
      <c r="M810" s="35"/>
      <c r="N810" s="35"/>
      <c r="P810" s="35"/>
      <c r="S810" s="35"/>
    </row>
    <row r="811" ht="15.75" customHeight="1">
      <c r="E811" s="35"/>
      <c r="K811" s="35"/>
      <c r="M811" s="35"/>
      <c r="N811" s="35"/>
      <c r="P811" s="35"/>
      <c r="S811" s="35"/>
    </row>
    <row r="812" ht="15.75" customHeight="1">
      <c r="E812" s="35"/>
      <c r="K812" s="35"/>
      <c r="M812" s="35"/>
      <c r="N812" s="35"/>
      <c r="P812" s="35"/>
      <c r="S812" s="35"/>
    </row>
    <row r="813" ht="15.75" customHeight="1">
      <c r="E813" s="35"/>
      <c r="K813" s="35"/>
      <c r="M813" s="35"/>
      <c r="N813" s="35"/>
      <c r="P813" s="35"/>
      <c r="S813" s="35"/>
    </row>
    <row r="814" ht="15.75" customHeight="1">
      <c r="E814" s="35"/>
      <c r="K814" s="35"/>
      <c r="M814" s="35"/>
      <c r="N814" s="35"/>
      <c r="P814" s="35"/>
      <c r="S814" s="35"/>
    </row>
    <row r="815" ht="15.75" customHeight="1">
      <c r="E815" s="35"/>
      <c r="K815" s="35"/>
      <c r="M815" s="35"/>
      <c r="N815" s="35"/>
      <c r="P815" s="35"/>
      <c r="S815" s="35"/>
    </row>
    <row r="816" ht="15.75" customHeight="1">
      <c r="E816" s="35"/>
      <c r="K816" s="35"/>
      <c r="M816" s="35"/>
      <c r="N816" s="35"/>
      <c r="P816" s="35"/>
      <c r="S816" s="35"/>
    </row>
    <row r="817" ht="15.75" customHeight="1">
      <c r="E817" s="35"/>
      <c r="K817" s="35"/>
      <c r="M817" s="35"/>
      <c r="N817" s="35"/>
      <c r="P817" s="35"/>
      <c r="S817" s="35"/>
    </row>
    <row r="818" ht="15.75" customHeight="1">
      <c r="E818" s="35"/>
      <c r="K818" s="35"/>
      <c r="M818" s="35"/>
      <c r="N818" s="35"/>
      <c r="P818" s="35"/>
      <c r="S818" s="35"/>
    </row>
    <row r="819" ht="15.75" customHeight="1">
      <c r="E819" s="35"/>
      <c r="K819" s="35"/>
      <c r="M819" s="35"/>
      <c r="N819" s="35"/>
      <c r="P819" s="35"/>
      <c r="S819" s="35"/>
    </row>
    <row r="820" ht="15.75" customHeight="1">
      <c r="E820" s="35"/>
      <c r="K820" s="35"/>
      <c r="M820" s="35"/>
      <c r="N820" s="35"/>
      <c r="P820" s="35"/>
      <c r="S820" s="35"/>
    </row>
    <row r="821" ht="15.75" customHeight="1">
      <c r="E821" s="35"/>
      <c r="K821" s="35"/>
      <c r="M821" s="35"/>
      <c r="N821" s="35"/>
      <c r="P821" s="35"/>
      <c r="S821" s="35"/>
    </row>
    <row r="822" ht="15.75" customHeight="1">
      <c r="E822" s="35"/>
      <c r="K822" s="35"/>
      <c r="M822" s="35"/>
      <c r="N822" s="35"/>
      <c r="P822" s="35"/>
      <c r="S822" s="35"/>
    </row>
    <row r="823" ht="15.75" customHeight="1">
      <c r="E823" s="35"/>
      <c r="K823" s="35"/>
      <c r="M823" s="35"/>
      <c r="N823" s="35"/>
      <c r="P823" s="35"/>
      <c r="S823" s="35"/>
    </row>
    <row r="824" ht="15.75" customHeight="1">
      <c r="E824" s="35"/>
      <c r="K824" s="35"/>
      <c r="M824" s="35"/>
      <c r="N824" s="35"/>
      <c r="P824" s="35"/>
      <c r="S824" s="35"/>
    </row>
    <row r="825" ht="15.75" customHeight="1">
      <c r="E825" s="35"/>
      <c r="K825" s="35"/>
      <c r="M825" s="35"/>
      <c r="N825" s="35"/>
      <c r="P825" s="35"/>
      <c r="S825" s="35"/>
    </row>
    <row r="826" ht="15.75" customHeight="1">
      <c r="E826" s="35"/>
      <c r="K826" s="35"/>
      <c r="M826" s="35"/>
      <c r="N826" s="35"/>
      <c r="P826" s="35"/>
      <c r="S826" s="35"/>
    </row>
    <row r="827" ht="15.75" customHeight="1">
      <c r="E827" s="35"/>
      <c r="K827" s="35"/>
      <c r="M827" s="35"/>
      <c r="N827" s="35"/>
      <c r="P827" s="35"/>
      <c r="S827" s="35"/>
    </row>
    <row r="828" ht="15.75" customHeight="1">
      <c r="E828" s="35"/>
      <c r="K828" s="35"/>
      <c r="M828" s="35"/>
      <c r="N828" s="35"/>
      <c r="P828" s="35"/>
      <c r="S828" s="35"/>
    </row>
    <row r="829" ht="15.75" customHeight="1">
      <c r="E829" s="35"/>
      <c r="K829" s="35"/>
      <c r="M829" s="35"/>
      <c r="N829" s="35"/>
      <c r="P829" s="35"/>
      <c r="S829" s="35"/>
    </row>
    <row r="830" ht="15.75" customHeight="1">
      <c r="E830" s="35"/>
      <c r="K830" s="35"/>
      <c r="M830" s="35"/>
      <c r="N830" s="35"/>
      <c r="P830" s="35"/>
      <c r="S830" s="35"/>
    </row>
    <row r="831" ht="15.75" customHeight="1">
      <c r="E831" s="35"/>
      <c r="K831" s="35"/>
      <c r="M831" s="35"/>
      <c r="N831" s="35"/>
      <c r="P831" s="35"/>
      <c r="S831" s="35"/>
    </row>
    <row r="832" ht="15.75" customHeight="1">
      <c r="E832" s="35"/>
      <c r="K832" s="35"/>
      <c r="M832" s="35"/>
      <c r="N832" s="35"/>
      <c r="P832" s="35"/>
      <c r="S832" s="35"/>
    </row>
    <row r="833" ht="15.75" customHeight="1">
      <c r="E833" s="35"/>
      <c r="K833" s="35"/>
      <c r="M833" s="35"/>
      <c r="N833" s="35"/>
      <c r="P833" s="35"/>
      <c r="S833" s="35"/>
    </row>
    <row r="834" ht="15.75" customHeight="1">
      <c r="E834" s="35"/>
      <c r="K834" s="35"/>
      <c r="M834" s="35"/>
      <c r="N834" s="35"/>
      <c r="P834" s="35"/>
      <c r="S834" s="35"/>
    </row>
    <row r="835" ht="15.75" customHeight="1">
      <c r="E835" s="35"/>
      <c r="K835" s="35"/>
      <c r="M835" s="35"/>
      <c r="N835" s="35"/>
      <c r="P835" s="35"/>
      <c r="S835" s="35"/>
    </row>
    <row r="836" ht="15.75" customHeight="1">
      <c r="E836" s="35"/>
      <c r="K836" s="35"/>
      <c r="M836" s="35"/>
      <c r="N836" s="35"/>
      <c r="P836" s="35"/>
      <c r="S836" s="35"/>
    </row>
    <row r="837" ht="15.75" customHeight="1">
      <c r="E837" s="35"/>
      <c r="K837" s="35"/>
      <c r="M837" s="35"/>
      <c r="N837" s="35"/>
      <c r="P837" s="35"/>
      <c r="S837" s="35"/>
    </row>
    <row r="838" ht="15.75" customHeight="1">
      <c r="E838" s="35"/>
      <c r="K838" s="35"/>
      <c r="M838" s="35"/>
      <c r="N838" s="35"/>
      <c r="P838" s="35"/>
      <c r="S838" s="35"/>
    </row>
    <row r="839" ht="15.75" customHeight="1">
      <c r="E839" s="35"/>
      <c r="K839" s="35"/>
      <c r="M839" s="35"/>
      <c r="N839" s="35"/>
      <c r="P839" s="35"/>
      <c r="S839" s="35"/>
    </row>
    <row r="840" ht="15.75" customHeight="1">
      <c r="E840" s="35"/>
      <c r="K840" s="35"/>
      <c r="M840" s="35"/>
      <c r="N840" s="35"/>
      <c r="P840" s="35"/>
      <c r="S840" s="35"/>
    </row>
    <row r="841" ht="15.75" customHeight="1">
      <c r="E841" s="35"/>
      <c r="K841" s="35"/>
      <c r="M841" s="35"/>
      <c r="N841" s="35"/>
      <c r="P841" s="35"/>
      <c r="S841" s="35"/>
    </row>
    <row r="842" ht="15.75" customHeight="1">
      <c r="E842" s="35"/>
      <c r="K842" s="35"/>
      <c r="M842" s="35"/>
      <c r="N842" s="35"/>
      <c r="P842" s="35"/>
      <c r="S842" s="35"/>
    </row>
    <row r="843" ht="15.75" customHeight="1">
      <c r="E843" s="35"/>
      <c r="K843" s="35"/>
      <c r="M843" s="35"/>
      <c r="N843" s="35"/>
      <c r="P843" s="35"/>
      <c r="S843" s="35"/>
    </row>
    <row r="844" ht="15.75" customHeight="1">
      <c r="E844" s="35"/>
      <c r="K844" s="35"/>
      <c r="M844" s="35"/>
      <c r="N844" s="35"/>
      <c r="P844" s="35"/>
      <c r="S844" s="35"/>
    </row>
    <row r="845" ht="15.75" customHeight="1">
      <c r="E845" s="35"/>
      <c r="K845" s="35"/>
      <c r="M845" s="35"/>
      <c r="N845" s="35"/>
      <c r="P845" s="35"/>
      <c r="S845" s="35"/>
    </row>
    <row r="846" ht="15.75" customHeight="1">
      <c r="E846" s="35"/>
      <c r="K846" s="35"/>
      <c r="M846" s="35"/>
      <c r="N846" s="35"/>
      <c r="P846" s="35"/>
      <c r="S846" s="35"/>
    </row>
    <row r="847" ht="15.75" customHeight="1">
      <c r="E847" s="35"/>
      <c r="K847" s="35"/>
      <c r="M847" s="35"/>
      <c r="N847" s="35"/>
      <c r="P847" s="35"/>
      <c r="S847" s="35"/>
    </row>
    <row r="848" ht="15.75" customHeight="1">
      <c r="E848" s="35"/>
      <c r="K848" s="35"/>
      <c r="M848" s="35"/>
      <c r="N848" s="35"/>
      <c r="P848" s="35"/>
      <c r="S848" s="35"/>
    </row>
    <row r="849" ht="15.75" customHeight="1">
      <c r="E849" s="35"/>
      <c r="K849" s="35"/>
      <c r="M849" s="35"/>
      <c r="N849" s="35"/>
      <c r="P849" s="35"/>
      <c r="S849" s="35"/>
    </row>
    <row r="850" ht="15.75" customHeight="1">
      <c r="E850" s="35"/>
      <c r="K850" s="35"/>
      <c r="M850" s="35"/>
      <c r="N850" s="35"/>
      <c r="P850" s="35"/>
      <c r="S850" s="35"/>
    </row>
    <row r="851" ht="15.75" customHeight="1">
      <c r="E851" s="35"/>
      <c r="K851" s="35"/>
      <c r="M851" s="35"/>
      <c r="N851" s="35"/>
      <c r="P851" s="35"/>
      <c r="S851" s="35"/>
    </row>
    <row r="852" ht="15.75" customHeight="1">
      <c r="E852" s="35"/>
      <c r="K852" s="35"/>
      <c r="M852" s="35"/>
      <c r="N852" s="35"/>
      <c r="P852" s="35"/>
      <c r="S852" s="35"/>
    </row>
    <row r="853" ht="15.75" customHeight="1">
      <c r="E853" s="35"/>
      <c r="K853" s="35"/>
      <c r="M853" s="35"/>
      <c r="N853" s="35"/>
      <c r="P853" s="35"/>
      <c r="S853" s="35"/>
    </row>
    <row r="854" ht="15.75" customHeight="1">
      <c r="E854" s="35"/>
      <c r="K854" s="35"/>
      <c r="M854" s="35"/>
      <c r="N854" s="35"/>
      <c r="P854" s="35"/>
      <c r="S854" s="35"/>
    </row>
    <row r="855" ht="15.75" customHeight="1">
      <c r="E855" s="35"/>
      <c r="K855" s="35"/>
      <c r="M855" s="35"/>
      <c r="N855" s="35"/>
      <c r="P855" s="35"/>
      <c r="S855" s="35"/>
    </row>
    <row r="856" ht="15.75" customHeight="1">
      <c r="E856" s="35"/>
      <c r="K856" s="35"/>
      <c r="M856" s="35"/>
      <c r="N856" s="35"/>
      <c r="P856" s="35"/>
      <c r="S856" s="35"/>
    </row>
    <row r="857" ht="15.75" customHeight="1">
      <c r="E857" s="35"/>
      <c r="K857" s="35"/>
      <c r="M857" s="35"/>
      <c r="N857" s="35"/>
      <c r="P857" s="35"/>
      <c r="S857" s="35"/>
    </row>
    <row r="858" ht="15.75" customHeight="1">
      <c r="E858" s="35"/>
      <c r="K858" s="35"/>
      <c r="M858" s="35"/>
      <c r="N858" s="35"/>
      <c r="P858" s="35"/>
      <c r="S858" s="35"/>
    </row>
    <row r="859" ht="15.75" customHeight="1">
      <c r="E859" s="35"/>
      <c r="K859" s="35"/>
      <c r="M859" s="35"/>
      <c r="N859" s="35"/>
      <c r="P859" s="35"/>
      <c r="S859" s="35"/>
    </row>
    <row r="860" ht="15.75" customHeight="1">
      <c r="E860" s="35"/>
      <c r="K860" s="35"/>
      <c r="M860" s="35"/>
      <c r="N860" s="35"/>
      <c r="P860" s="35"/>
      <c r="S860" s="35"/>
    </row>
    <row r="861" ht="15.75" customHeight="1">
      <c r="E861" s="35"/>
      <c r="K861" s="35"/>
      <c r="M861" s="35"/>
      <c r="N861" s="35"/>
      <c r="P861" s="35"/>
      <c r="S861" s="35"/>
    </row>
    <row r="862" ht="15.75" customHeight="1">
      <c r="E862" s="35"/>
      <c r="K862" s="35"/>
      <c r="M862" s="35"/>
      <c r="N862" s="35"/>
      <c r="P862" s="35"/>
      <c r="S862" s="35"/>
    </row>
    <row r="863" ht="15.75" customHeight="1">
      <c r="E863" s="35"/>
      <c r="K863" s="35"/>
      <c r="M863" s="35"/>
      <c r="N863" s="35"/>
      <c r="P863" s="35"/>
      <c r="S863" s="35"/>
    </row>
    <row r="864" ht="15.75" customHeight="1">
      <c r="E864" s="35"/>
      <c r="K864" s="35"/>
      <c r="M864" s="35"/>
      <c r="N864" s="35"/>
      <c r="P864" s="35"/>
      <c r="S864" s="35"/>
    </row>
    <row r="865" ht="15.75" customHeight="1">
      <c r="E865" s="35"/>
      <c r="K865" s="35"/>
      <c r="M865" s="35"/>
      <c r="N865" s="35"/>
      <c r="P865" s="35"/>
      <c r="S865" s="35"/>
    </row>
    <row r="866" ht="15.75" customHeight="1">
      <c r="E866" s="35"/>
      <c r="K866" s="35"/>
      <c r="M866" s="35"/>
      <c r="N866" s="35"/>
      <c r="P866" s="35"/>
      <c r="S866" s="35"/>
    </row>
    <row r="867" ht="15.75" customHeight="1">
      <c r="E867" s="35"/>
      <c r="K867" s="35"/>
      <c r="M867" s="35"/>
      <c r="N867" s="35"/>
      <c r="P867" s="35"/>
      <c r="S867" s="35"/>
    </row>
    <row r="868" ht="15.75" customHeight="1">
      <c r="E868" s="35"/>
      <c r="K868" s="35"/>
      <c r="M868" s="35"/>
      <c r="N868" s="35"/>
      <c r="P868" s="35"/>
      <c r="S868" s="35"/>
    </row>
    <row r="869" ht="15.75" customHeight="1">
      <c r="E869" s="35"/>
      <c r="K869" s="35"/>
      <c r="M869" s="35"/>
      <c r="N869" s="35"/>
      <c r="P869" s="35"/>
      <c r="S869" s="35"/>
    </row>
    <row r="870" ht="15.75" customHeight="1">
      <c r="E870" s="35"/>
      <c r="K870" s="35"/>
      <c r="M870" s="35"/>
      <c r="N870" s="35"/>
      <c r="P870" s="35"/>
      <c r="S870" s="35"/>
    </row>
    <row r="871" ht="15.75" customHeight="1">
      <c r="E871" s="35"/>
      <c r="K871" s="35"/>
      <c r="M871" s="35"/>
      <c r="N871" s="35"/>
      <c r="P871" s="35"/>
      <c r="S871" s="35"/>
    </row>
    <row r="872" ht="15.75" customHeight="1">
      <c r="E872" s="35"/>
      <c r="K872" s="35"/>
      <c r="M872" s="35"/>
      <c r="N872" s="35"/>
      <c r="P872" s="35"/>
      <c r="S872" s="35"/>
    </row>
    <row r="873" ht="15.75" customHeight="1">
      <c r="E873" s="35"/>
      <c r="K873" s="35"/>
      <c r="M873" s="35"/>
      <c r="N873" s="35"/>
      <c r="P873" s="35"/>
      <c r="S873" s="35"/>
    </row>
    <row r="874" ht="15.75" customHeight="1">
      <c r="E874" s="35"/>
      <c r="K874" s="35"/>
      <c r="M874" s="35"/>
      <c r="N874" s="35"/>
      <c r="P874" s="35"/>
      <c r="S874" s="35"/>
    </row>
    <row r="875" ht="15.75" customHeight="1">
      <c r="E875" s="35"/>
      <c r="K875" s="35"/>
      <c r="M875" s="35"/>
      <c r="N875" s="35"/>
      <c r="P875" s="35"/>
      <c r="S875" s="35"/>
    </row>
    <row r="876" ht="15.75" customHeight="1">
      <c r="E876" s="35"/>
      <c r="K876" s="35"/>
      <c r="M876" s="35"/>
      <c r="N876" s="35"/>
      <c r="P876" s="35"/>
      <c r="S876" s="35"/>
    </row>
    <row r="877" ht="15.75" customHeight="1">
      <c r="E877" s="35"/>
      <c r="K877" s="35"/>
      <c r="M877" s="35"/>
      <c r="N877" s="35"/>
      <c r="P877" s="35"/>
      <c r="S877" s="35"/>
    </row>
    <row r="878" ht="15.75" customHeight="1">
      <c r="E878" s="35"/>
      <c r="K878" s="35"/>
      <c r="M878" s="35"/>
      <c r="N878" s="35"/>
      <c r="P878" s="35"/>
      <c r="S878" s="35"/>
    </row>
    <row r="879" ht="15.75" customHeight="1">
      <c r="E879" s="35"/>
      <c r="K879" s="35"/>
      <c r="M879" s="35"/>
      <c r="N879" s="35"/>
      <c r="P879" s="35"/>
      <c r="S879" s="35"/>
    </row>
    <row r="880" ht="15.75" customHeight="1">
      <c r="E880" s="35"/>
      <c r="K880" s="35"/>
      <c r="M880" s="35"/>
      <c r="N880" s="35"/>
      <c r="P880" s="35"/>
      <c r="S880" s="35"/>
    </row>
    <row r="881" ht="15.75" customHeight="1">
      <c r="E881" s="35"/>
      <c r="K881" s="35"/>
      <c r="M881" s="35"/>
      <c r="N881" s="35"/>
      <c r="P881" s="35"/>
      <c r="S881" s="35"/>
    </row>
    <row r="882" ht="15.75" customHeight="1">
      <c r="E882" s="35"/>
      <c r="K882" s="35"/>
      <c r="M882" s="35"/>
      <c r="N882" s="35"/>
      <c r="P882" s="35"/>
      <c r="S882" s="35"/>
    </row>
    <row r="883" ht="15.75" customHeight="1">
      <c r="E883" s="35"/>
      <c r="K883" s="35"/>
      <c r="M883" s="35"/>
      <c r="N883" s="35"/>
      <c r="P883" s="35"/>
      <c r="S883" s="35"/>
    </row>
    <row r="884" ht="15.75" customHeight="1">
      <c r="E884" s="35"/>
      <c r="K884" s="35"/>
      <c r="M884" s="35"/>
      <c r="N884" s="35"/>
      <c r="P884" s="35"/>
      <c r="S884" s="35"/>
    </row>
    <row r="885" ht="15.75" customHeight="1">
      <c r="E885" s="35"/>
      <c r="K885" s="35"/>
      <c r="M885" s="35"/>
      <c r="N885" s="35"/>
      <c r="P885" s="35"/>
      <c r="S885" s="35"/>
    </row>
    <row r="886" ht="15.75" customHeight="1">
      <c r="E886" s="35"/>
      <c r="K886" s="35"/>
      <c r="M886" s="35"/>
      <c r="N886" s="35"/>
      <c r="P886" s="35"/>
      <c r="S886" s="35"/>
    </row>
    <row r="887" ht="15.75" customHeight="1">
      <c r="E887" s="35"/>
      <c r="K887" s="35"/>
      <c r="M887" s="35"/>
      <c r="N887" s="35"/>
      <c r="P887" s="35"/>
      <c r="S887" s="35"/>
    </row>
    <row r="888" ht="15.75" customHeight="1">
      <c r="E888" s="35"/>
      <c r="K888" s="35"/>
      <c r="M888" s="35"/>
      <c r="N888" s="35"/>
      <c r="P888" s="35"/>
      <c r="S888" s="35"/>
    </row>
    <row r="889" ht="15.75" customHeight="1">
      <c r="E889" s="35"/>
      <c r="K889" s="35"/>
      <c r="M889" s="35"/>
      <c r="N889" s="35"/>
      <c r="P889" s="35"/>
      <c r="S889" s="35"/>
    </row>
    <row r="890" ht="15.75" customHeight="1">
      <c r="E890" s="35"/>
      <c r="K890" s="35"/>
      <c r="M890" s="35"/>
      <c r="N890" s="35"/>
      <c r="P890" s="35"/>
      <c r="S890" s="35"/>
    </row>
    <row r="891" ht="15.75" customHeight="1">
      <c r="E891" s="35"/>
      <c r="K891" s="35"/>
      <c r="M891" s="35"/>
      <c r="N891" s="35"/>
      <c r="P891" s="35"/>
      <c r="S891" s="35"/>
    </row>
    <row r="892" ht="15.75" customHeight="1">
      <c r="E892" s="35"/>
      <c r="K892" s="35"/>
      <c r="M892" s="35"/>
      <c r="N892" s="35"/>
      <c r="P892" s="35"/>
      <c r="S892" s="35"/>
    </row>
    <row r="893" ht="15.75" customHeight="1">
      <c r="E893" s="35"/>
      <c r="K893" s="35"/>
      <c r="M893" s="35"/>
      <c r="N893" s="35"/>
      <c r="P893" s="35"/>
      <c r="S893" s="35"/>
    </row>
    <row r="894" ht="15.75" customHeight="1">
      <c r="E894" s="35"/>
      <c r="K894" s="35"/>
      <c r="M894" s="35"/>
      <c r="N894" s="35"/>
      <c r="P894" s="35"/>
      <c r="S894" s="35"/>
    </row>
    <row r="895" ht="15.75" customHeight="1">
      <c r="E895" s="35"/>
      <c r="K895" s="35"/>
      <c r="M895" s="35"/>
      <c r="N895" s="35"/>
      <c r="P895" s="35"/>
      <c r="S895" s="35"/>
    </row>
    <row r="896" ht="15.75" customHeight="1">
      <c r="E896" s="35"/>
      <c r="K896" s="35"/>
      <c r="M896" s="35"/>
      <c r="N896" s="35"/>
      <c r="P896" s="35"/>
      <c r="S896" s="35"/>
    </row>
    <row r="897" ht="15.75" customHeight="1">
      <c r="E897" s="35"/>
      <c r="K897" s="35"/>
      <c r="M897" s="35"/>
      <c r="N897" s="35"/>
      <c r="P897" s="35"/>
      <c r="S897" s="35"/>
    </row>
    <row r="898" ht="15.75" customHeight="1">
      <c r="E898" s="35"/>
      <c r="K898" s="35"/>
      <c r="M898" s="35"/>
      <c r="N898" s="35"/>
      <c r="P898" s="35"/>
      <c r="S898" s="35"/>
    </row>
    <row r="899" ht="15.75" customHeight="1">
      <c r="E899" s="35"/>
      <c r="K899" s="35"/>
      <c r="M899" s="35"/>
      <c r="N899" s="35"/>
      <c r="P899" s="35"/>
      <c r="S899" s="35"/>
    </row>
    <row r="900" ht="15.75" customHeight="1">
      <c r="E900" s="35"/>
      <c r="K900" s="35"/>
      <c r="M900" s="35"/>
      <c r="N900" s="35"/>
      <c r="P900" s="35"/>
      <c r="S900" s="35"/>
    </row>
    <row r="901" ht="15.75" customHeight="1">
      <c r="E901" s="35"/>
      <c r="K901" s="35"/>
      <c r="M901" s="35"/>
      <c r="N901" s="35"/>
      <c r="P901" s="35"/>
      <c r="S901" s="35"/>
    </row>
    <row r="902" ht="15.75" customHeight="1">
      <c r="E902" s="35"/>
      <c r="K902" s="35"/>
      <c r="M902" s="35"/>
      <c r="N902" s="35"/>
      <c r="P902" s="35"/>
      <c r="S902" s="35"/>
    </row>
    <row r="903" ht="15.75" customHeight="1">
      <c r="E903" s="35"/>
      <c r="K903" s="35"/>
      <c r="M903" s="35"/>
      <c r="N903" s="35"/>
      <c r="P903" s="35"/>
      <c r="S903" s="35"/>
    </row>
    <row r="904" ht="15.75" customHeight="1">
      <c r="E904" s="35"/>
      <c r="K904" s="35"/>
      <c r="M904" s="35"/>
      <c r="N904" s="35"/>
      <c r="P904" s="35"/>
      <c r="S904" s="35"/>
    </row>
    <row r="905" ht="15.75" customHeight="1">
      <c r="E905" s="35"/>
      <c r="K905" s="35"/>
      <c r="M905" s="35"/>
      <c r="N905" s="35"/>
      <c r="P905" s="35"/>
      <c r="S905" s="35"/>
    </row>
    <row r="906" ht="15.75" customHeight="1">
      <c r="E906" s="35"/>
      <c r="K906" s="35"/>
      <c r="M906" s="35"/>
      <c r="N906" s="35"/>
      <c r="P906" s="35"/>
      <c r="S906" s="35"/>
    </row>
    <row r="907" ht="15.75" customHeight="1">
      <c r="E907" s="35"/>
      <c r="K907" s="35"/>
      <c r="M907" s="35"/>
      <c r="N907" s="35"/>
      <c r="P907" s="35"/>
      <c r="S907" s="35"/>
    </row>
    <row r="908" ht="15.75" customHeight="1">
      <c r="E908" s="35"/>
      <c r="K908" s="35"/>
      <c r="M908" s="35"/>
      <c r="N908" s="35"/>
      <c r="P908" s="35"/>
      <c r="S908" s="35"/>
    </row>
    <row r="909" ht="15.75" customHeight="1">
      <c r="E909" s="35"/>
      <c r="K909" s="35"/>
      <c r="M909" s="35"/>
      <c r="N909" s="35"/>
      <c r="P909" s="35"/>
      <c r="S909" s="35"/>
    </row>
    <row r="910" ht="15.75" customHeight="1">
      <c r="E910" s="35"/>
      <c r="K910" s="35"/>
      <c r="M910" s="35"/>
      <c r="N910" s="35"/>
      <c r="P910" s="35"/>
      <c r="S910" s="35"/>
    </row>
    <row r="911" ht="15.75" customHeight="1">
      <c r="E911" s="35"/>
      <c r="K911" s="35"/>
      <c r="M911" s="35"/>
      <c r="N911" s="35"/>
      <c r="P911" s="35"/>
      <c r="S911" s="35"/>
    </row>
    <row r="912" ht="15.75" customHeight="1">
      <c r="E912" s="35"/>
      <c r="K912" s="35"/>
      <c r="M912" s="35"/>
      <c r="N912" s="35"/>
      <c r="P912" s="35"/>
      <c r="S912" s="35"/>
    </row>
    <row r="913" ht="15.75" customHeight="1">
      <c r="E913" s="35"/>
      <c r="K913" s="35"/>
      <c r="M913" s="35"/>
      <c r="N913" s="35"/>
      <c r="P913" s="35"/>
      <c r="S913" s="35"/>
    </row>
    <row r="914" ht="15.75" customHeight="1">
      <c r="E914" s="35"/>
      <c r="K914" s="35"/>
      <c r="M914" s="35"/>
      <c r="N914" s="35"/>
      <c r="P914" s="35"/>
      <c r="S914" s="35"/>
    </row>
    <row r="915" ht="15.75" customHeight="1">
      <c r="E915" s="35"/>
      <c r="K915" s="35"/>
      <c r="M915" s="35"/>
      <c r="N915" s="35"/>
      <c r="P915" s="35"/>
      <c r="S915" s="35"/>
    </row>
    <row r="916" ht="15.75" customHeight="1">
      <c r="E916" s="35"/>
      <c r="K916" s="35"/>
      <c r="M916" s="35"/>
      <c r="N916" s="35"/>
      <c r="P916" s="35"/>
      <c r="S916" s="35"/>
    </row>
    <row r="917" ht="15.75" customHeight="1">
      <c r="E917" s="35"/>
      <c r="K917" s="35"/>
      <c r="M917" s="35"/>
      <c r="N917" s="35"/>
      <c r="P917" s="35"/>
      <c r="S917" s="35"/>
    </row>
    <row r="918" ht="15.75" customHeight="1">
      <c r="E918" s="35"/>
      <c r="K918" s="35"/>
      <c r="M918" s="35"/>
      <c r="N918" s="35"/>
      <c r="P918" s="35"/>
      <c r="S918" s="35"/>
    </row>
    <row r="919" ht="15.75" customHeight="1">
      <c r="E919" s="35"/>
      <c r="K919" s="35"/>
      <c r="M919" s="35"/>
      <c r="N919" s="35"/>
      <c r="P919" s="35"/>
      <c r="S919" s="35"/>
    </row>
    <row r="920" ht="15.75" customHeight="1">
      <c r="E920" s="35"/>
      <c r="K920" s="35"/>
      <c r="M920" s="35"/>
      <c r="N920" s="35"/>
      <c r="P920" s="35"/>
      <c r="S920" s="35"/>
    </row>
    <row r="921" ht="15.75" customHeight="1">
      <c r="E921" s="35"/>
      <c r="K921" s="35"/>
      <c r="M921" s="35"/>
      <c r="N921" s="35"/>
      <c r="P921" s="35"/>
      <c r="S921" s="35"/>
    </row>
    <row r="922" ht="15.75" customHeight="1">
      <c r="E922" s="35"/>
      <c r="K922" s="35"/>
      <c r="M922" s="35"/>
      <c r="N922" s="35"/>
      <c r="P922" s="35"/>
      <c r="S922" s="35"/>
    </row>
    <row r="923" ht="15.75" customHeight="1">
      <c r="E923" s="35"/>
      <c r="K923" s="35"/>
      <c r="M923" s="35"/>
      <c r="N923" s="35"/>
      <c r="P923" s="35"/>
      <c r="S923" s="35"/>
    </row>
    <row r="924" ht="15.75" customHeight="1">
      <c r="E924" s="35"/>
      <c r="K924" s="35"/>
      <c r="M924" s="35"/>
      <c r="N924" s="35"/>
      <c r="P924" s="35"/>
      <c r="S924" s="35"/>
    </row>
    <row r="925" ht="15.75" customHeight="1">
      <c r="E925" s="35"/>
      <c r="K925" s="35"/>
      <c r="M925" s="35"/>
      <c r="N925" s="35"/>
      <c r="P925" s="35"/>
      <c r="S925" s="35"/>
    </row>
    <row r="926" ht="15.75" customHeight="1">
      <c r="E926" s="35"/>
      <c r="K926" s="35"/>
      <c r="M926" s="35"/>
      <c r="N926" s="35"/>
      <c r="P926" s="35"/>
      <c r="S926" s="35"/>
    </row>
    <row r="927" ht="15.75" customHeight="1">
      <c r="E927" s="35"/>
      <c r="K927" s="35"/>
      <c r="M927" s="35"/>
      <c r="N927" s="35"/>
      <c r="P927" s="35"/>
      <c r="S927" s="35"/>
    </row>
    <row r="928" ht="15.75" customHeight="1">
      <c r="E928" s="35"/>
      <c r="K928" s="35"/>
      <c r="M928" s="35"/>
      <c r="N928" s="35"/>
      <c r="P928" s="35"/>
      <c r="S928" s="35"/>
    </row>
    <row r="929" ht="15.75" customHeight="1">
      <c r="E929" s="35"/>
      <c r="K929" s="35"/>
      <c r="M929" s="35"/>
      <c r="N929" s="35"/>
      <c r="P929" s="35"/>
      <c r="S929" s="35"/>
    </row>
    <row r="930" ht="15.75" customHeight="1">
      <c r="E930" s="35"/>
      <c r="K930" s="35"/>
      <c r="M930" s="35"/>
      <c r="N930" s="35"/>
      <c r="P930" s="35"/>
      <c r="S930" s="35"/>
    </row>
    <row r="931" ht="15.75" customHeight="1">
      <c r="E931" s="35"/>
      <c r="K931" s="35"/>
      <c r="M931" s="35"/>
      <c r="N931" s="35"/>
      <c r="P931" s="35"/>
      <c r="S931" s="35"/>
    </row>
    <row r="932" ht="15.75" customHeight="1">
      <c r="E932" s="35"/>
      <c r="K932" s="35"/>
      <c r="M932" s="35"/>
      <c r="N932" s="35"/>
      <c r="P932" s="35"/>
      <c r="S932" s="35"/>
    </row>
    <row r="933" ht="15.75" customHeight="1">
      <c r="E933" s="35"/>
      <c r="K933" s="35"/>
      <c r="M933" s="35"/>
      <c r="N933" s="35"/>
      <c r="P933" s="35"/>
      <c r="S933" s="35"/>
    </row>
    <row r="934" ht="15.75" customHeight="1">
      <c r="E934" s="35"/>
      <c r="K934" s="35"/>
      <c r="M934" s="35"/>
      <c r="N934" s="35"/>
      <c r="P934" s="35"/>
      <c r="S934" s="35"/>
    </row>
    <row r="935" ht="15.75" customHeight="1">
      <c r="E935" s="35"/>
      <c r="K935" s="35"/>
      <c r="M935" s="35"/>
      <c r="N935" s="35"/>
      <c r="P935" s="35"/>
      <c r="S935" s="35"/>
    </row>
    <row r="936" ht="15.75" customHeight="1">
      <c r="E936" s="35"/>
      <c r="K936" s="35"/>
      <c r="M936" s="35"/>
      <c r="N936" s="35"/>
      <c r="P936" s="35"/>
      <c r="S936" s="35"/>
    </row>
    <row r="937" ht="15.75" customHeight="1">
      <c r="E937" s="35"/>
      <c r="K937" s="35"/>
      <c r="M937" s="35"/>
      <c r="N937" s="35"/>
      <c r="P937" s="35"/>
      <c r="S937" s="35"/>
    </row>
    <row r="938" ht="15.75" customHeight="1">
      <c r="E938" s="35"/>
      <c r="K938" s="35"/>
      <c r="M938" s="35"/>
      <c r="N938" s="35"/>
      <c r="P938" s="35"/>
      <c r="S938" s="35"/>
    </row>
    <row r="939" ht="15.75" customHeight="1">
      <c r="E939" s="35"/>
      <c r="K939" s="35"/>
      <c r="M939" s="35"/>
      <c r="N939" s="35"/>
      <c r="P939" s="35"/>
      <c r="S939" s="35"/>
    </row>
    <row r="940" ht="15.75" customHeight="1">
      <c r="E940" s="35"/>
      <c r="K940" s="35"/>
      <c r="M940" s="35"/>
      <c r="N940" s="35"/>
      <c r="P940" s="35"/>
      <c r="S940" s="35"/>
    </row>
    <row r="941" ht="15.75" customHeight="1">
      <c r="E941" s="35"/>
      <c r="K941" s="35"/>
      <c r="M941" s="35"/>
      <c r="N941" s="35"/>
      <c r="P941" s="35"/>
      <c r="S941" s="35"/>
    </row>
    <row r="942" ht="15.75" customHeight="1">
      <c r="E942" s="35"/>
      <c r="K942" s="35"/>
      <c r="M942" s="35"/>
      <c r="N942" s="35"/>
      <c r="P942" s="35"/>
      <c r="S942" s="35"/>
    </row>
    <row r="943" ht="15.75" customHeight="1">
      <c r="E943" s="35"/>
      <c r="K943" s="35"/>
      <c r="M943" s="35"/>
      <c r="N943" s="35"/>
      <c r="P943" s="35"/>
      <c r="S943" s="35"/>
    </row>
    <row r="944" ht="15.75" customHeight="1">
      <c r="E944" s="35"/>
      <c r="K944" s="35"/>
      <c r="M944" s="35"/>
      <c r="N944" s="35"/>
      <c r="P944" s="35"/>
      <c r="S944" s="35"/>
    </row>
    <row r="945" ht="15.75" customHeight="1">
      <c r="E945" s="35"/>
      <c r="K945" s="35"/>
      <c r="M945" s="35"/>
      <c r="N945" s="35"/>
      <c r="P945" s="35"/>
      <c r="S945" s="35"/>
    </row>
    <row r="946" ht="15.75" customHeight="1">
      <c r="E946" s="35"/>
      <c r="K946" s="35"/>
      <c r="M946" s="35"/>
      <c r="N946" s="35"/>
      <c r="P946" s="35"/>
      <c r="S946" s="35"/>
    </row>
    <row r="947" ht="15.75" customHeight="1">
      <c r="E947" s="35"/>
      <c r="K947" s="35"/>
      <c r="M947" s="35"/>
      <c r="N947" s="35"/>
      <c r="P947" s="35"/>
      <c r="S947" s="35"/>
    </row>
    <row r="948" ht="15.75" customHeight="1">
      <c r="E948" s="35"/>
      <c r="K948" s="35"/>
      <c r="M948" s="35"/>
      <c r="N948" s="35"/>
      <c r="P948" s="35"/>
      <c r="S948" s="35"/>
    </row>
    <row r="949" ht="15.75" customHeight="1">
      <c r="E949" s="35"/>
      <c r="K949" s="35"/>
      <c r="M949" s="35"/>
      <c r="N949" s="35"/>
      <c r="P949" s="35"/>
      <c r="S949" s="35"/>
    </row>
    <row r="950" ht="15.75" customHeight="1">
      <c r="E950" s="35"/>
      <c r="K950" s="35"/>
      <c r="M950" s="35"/>
      <c r="N950" s="35"/>
      <c r="P950" s="35"/>
      <c r="S950" s="35"/>
    </row>
    <row r="951" ht="15.75" customHeight="1">
      <c r="E951" s="35"/>
      <c r="K951" s="35"/>
      <c r="M951" s="35"/>
      <c r="N951" s="35"/>
      <c r="P951" s="35"/>
      <c r="S951" s="35"/>
    </row>
    <row r="952" ht="15.75" customHeight="1">
      <c r="E952" s="35"/>
      <c r="K952" s="35"/>
      <c r="M952" s="35"/>
      <c r="N952" s="35"/>
      <c r="P952" s="35"/>
      <c r="S952" s="35"/>
    </row>
    <row r="953" ht="15.75" customHeight="1">
      <c r="E953" s="35"/>
      <c r="K953" s="35"/>
      <c r="M953" s="35"/>
      <c r="N953" s="35"/>
      <c r="P953" s="35"/>
      <c r="S953" s="35"/>
    </row>
    <row r="954" ht="15.75" customHeight="1">
      <c r="E954" s="35"/>
      <c r="K954" s="35"/>
      <c r="M954" s="35"/>
      <c r="N954" s="35"/>
      <c r="P954" s="35"/>
      <c r="S954" s="35"/>
    </row>
    <row r="955" ht="15.75" customHeight="1">
      <c r="E955" s="35"/>
      <c r="K955" s="35"/>
      <c r="M955" s="35"/>
      <c r="N955" s="35"/>
      <c r="P955" s="35"/>
      <c r="S955" s="35"/>
    </row>
    <row r="956" ht="15.75" customHeight="1">
      <c r="E956" s="35"/>
      <c r="K956" s="35"/>
      <c r="M956" s="35"/>
      <c r="N956" s="35"/>
      <c r="P956" s="35"/>
      <c r="S956" s="35"/>
    </row>
    <row r="957" ht="15.75" customHeight="1">
      <c r="E957" s="35"/>
      <c r="K957" s="35"/>
      <c r="M957" s="35"/>
      <c r="N957" s="35"/>
      <c r="P957" s="35"/>
      <c r="S957" s="35"/>
    </row>
    <row r="958" ht="15.75" customHeight="1">
      <c r="E958" s="35"/>
      <c r="K958" s="35"/>
      <c r="M958" s="35"/>
      <c r="N958" s="35"/>
      <c r="P958" s="35"/>
      <c r="S958" s="35"/>
    </row>
    <row r="959" ht="15.75" customHeight="1">
      <c r="E959" s="35"/>
      <c r="K959" s="35"/>
      <c r="M959" s="35"/>
      <c r="N959" s="35"/>
      <c r="P959" s="35"/>
      <c r="S959" s="35"/>
    </row>
    <row r="960" ht="15.75" customHeight="1">
      <c r="E960" s="35"/>
      <c r="K960" s="35"/>
      <c r="M960" s="35"/>
      <c r="N960" s="35"/>
      <c r="P960" s="35"/>
      <c r="S960" s="35"/>
    </row>
    <row r="961" ht="15.75" customHeight="1">
      <c r="E961" s="35"/>
      <c r="K961" s="35"/>
      <c r="M961" s="35"/>
      <c r="N961" s="35"/>
      <c r="P961" s="35"/>
      <c r="S961" s="35"/>
    </row>
    <row r="962" ht="15.75" customHeight="1">
      <c r="E962" s="35"/>
      <c r="K962" s="35"/>
      <c r="M962" s="35"/>
      <c r="N962" s="35"/>
      <c r="P962" s="35"/>
      <c r="S962" s="35"/>
    </row>
    <row r="963" ht="15.75" customHeight="1">
      <c r="E963" s="35"/>
      <c r="K963" s="35"/>
      <c r="M963" s="35"/>
      <c r="N963" s="35"/>
      <c r="P963" s="35"/>
      <c r="S963" s="35"/>
    </row>
    <row r="964" ht="15.75" customHeight="1">
      <c r="E964" s="35"/>
      <c r="K964" s="35"/>
      <c r="M964" s="35"/>
      <c r="N964" s="35"/>
      <c r="P964" s="35"/>
      <c r="S964" s="35"/>
    </row>
    <row r="965" ht="15.75" customHeight="1">
      <c r="E965" s="35"/>
      <c r="K965" s="35"/>
      <c r="M965" s="35"/>
      <c r="N965" s="35"/>
      <c r="P965" s="35"/>
      <c r="S965" s="35"/>
    </row>
    <row r="966" ht="15.75" customHeight="1">
      <c r="E966" s="35"/>
      <c r="K966" s="35"/>
      <c r="M966" s="35"/>
      <c r="N966" s="35"/>
      <c r="P966" s="35"/>
      <c r="S966" s="35"/>
    </row>
    <row r="967" ht="15.75" customHeight="1">
      <c r="E967" s="35"/>
      <c r="K967" s="35"/>
      <c r="M967" s="35"/>
      <c r="N967" s="35"/>
      <c r="P967" s="35"/>
      <c r="S967" s="35"/>
    </row>
    <row r="968" ht="15.75" customHeight="1">
      <c r="E968" s="35"/>
      <c r="K968" s="35"/>
      <c r="M968" s="35"/>
      <c r="N968" s="35"/>
      <c r="P968" s="35"/>
      <c r="S968" s="35"/>
    </row>
    <row r="969" ht="15.75" customHeight="1">
      <c r="E969" s="35"/>
      <c r="K969" s="35"/>
      <c r="M969" s="35"/>
      <c r="N969" s="35"/>
      <c r="P969" s="35"/>
      <c r="S969" s="35"/>
    </row>
    <row r="970" ht="15.75" customHeight="1">
      <c r="E970" s="35"/>
      <c r="K970" s="35"/>
      <c r="M970" s="35"/>
      <c r="N970" s="35"/>
      <c r="P970" s="35"/>
      <c r="S970" s="35"/>
    </row>
    <row r="971" ht="15.75" customHeight="1">
      <c r="E971" s="35"/>
      <c r="K971" s="35"/>
      <c r="M971" s="35"/>
      <c r="N971" s="35"/>
      <c r="P971" s="35"/>
      <c r="S971" s="35"/>
    </row>
    <row r="972" ht="15.75" customHeight="1">
      <c r="E972" s="35"/>
      <c r="K972" s="35"/>
      <c r="M972" s="35"/>
      <c r="N972" s="35"/>
      <c r="P972" s="35"/>
      <c r="S972" s="35"/>
    </row>
    <row r="973" ht="15.75" customHeight="1">
      <c r="E973" s="35"/>
      <c r="K973" s="35"/>
      <c r="M973" s="35"/>
      <c r="N973" s="35"/>
      <c r="P973" s="35"/>
      <c r="S973" s="35"/>
    </row>
    <row r="974" ht="15.75" customHeight="1">
      <c r="E974" s="35"/>
      <c r="K974" s="35"/>
      <c r="M974" s="35"/>
      <c r="N974" s="35"/>
      <c r="P974" s="35"/>
      <c r="S974" s="35"/>
    </row>
    <row r="975" ht="15.75" customHeight="1">
      <c r="E975" s="35"/>
      <c r="K975" s="35"/>
      <c r="M975" s="35"/>
      <c r="N975" s="35"/>
      <c r="P975" s="35"/>
      <c r="S975" s="35"/>
    </row>
    <row r="976" ht="15.75" customHeight="1">
      <c r="E976" s="35"/>
      <c r="K976" s="35"/>
      <c r="M976" s="35"/>
      <c r="N976" s="35"/>
      <c r="P976" s="35"/>
      <c r="S976" s="35"/>
    </row>
    <row r="977" ht="15.75" customHeight="1">
      <c r="E977" s="35"/>
      <c r="K977" s="35"/>
      <c r="M977" s="35"/>
      <c r="N977" s="35"/>
      <c r="P977" s="35"/>
      <c r="S977" s="35"/>
    </row>
    <row r="978" ht="15.75" customHeight="1">
      <c r="E978" s="35"/>
      <c r="K978" s="35"/>
      <c r="M978" s="35"/>
      <c r="N978" s="35"/>
      <c r="P978" s="35"/>
      <c r="S978" s="35"/>
    </row>
    <row r="979" ht="15.75" customHeight="1">
      <c r="E979" s="35"/>
      <c r="K979" s="35"/>
      <c r="M979" s="35"/>
      <c r="N979" s="35"/>
      <c r="P979" s="35"/>
      <c r="S979" s="35"/>
    </row>
    <row r="980" ht="15.75" customHeight="1">
      <c r="E980" s="35"/>
      <c r="K980" s="35"/>
      <c r="M980" s="35"/>
      <c r="N980" s="35"/>
      <c r="P980" s="35"/>
      <c r="S980" s="35"/>
    </row>
    <row r="981" ht="15.75" customHeight="1">
      <c r="E981" s="35"/>
      <c r="K981" s="35"/>
      <c r="M981" s="35"/>
      <c r="N981" s="35"/>
      <c r="P981" s="35"/>
      <c r="S981" s="35"/>
    </row>
    <row r="982" ht="15.75" customHeight="1">
      <c r="E982" s="35"/>
      <c r="K982" s="35"/>
      <c r="M982" s="35"/>
      <c r="N982" s="35"/>
      <c r="P982" s="35"/>
      <c r="S982" s="35"/>
    </row>
    <row r="983" ht="15.75" customHeight="1">
      <c r="E983" s="35"/>
      <c r="K983" s="35"/>
      <c r="M983" s="35"/>
      <c r="N983" s="35"/>
      <c r="P983" s="35"/>
      <c r="S983" s="35"/>
    </row>
    <row r="984" ht="15.75" customHeight="1">
      <c r="E984" s="35"/>
      <c r="K984" s="35"/>
      <c r="M984" s="35"/>
      <c r="N984" s="35"/>
      <c r="P984" s="35"/>
      <c r="S984" s="35"/>
    </row>
    <row r="985" ht="15.75" customHeight="1">
      <c r="E985" s="35"/>
      <c r="K985" s="35"/>
      <c r="M985" s="35"/>
      <c r="N985" s="35"/>
      <c r="P985" s="35"/>
      <c r="S985" s="35"/>
    </row>
    <row r="986" ht="15.75" customHeight="1">
      <c r="E986" s="35"/>
      <c r="K986" s="35"/>
      <c r="M986" s="35"/>
      <c r="N986" s="35"/>
      <c r="P986" s="35"/>
      <c r="S986" s="35"/>
    </row>
    <row r="987" ht="15.75" customHeight="1">
      <c r="E987" s="35"/>
      <c r="K987" s="35"/>
      <c r="M987" s="35"/>
      <c r="N987" s="35"/>
      <c r="P987" s="35"/>
      <c r="S987" s="35"/>
    </row>
    <row r="988" ht="15.75" customHeight="1">
      <c r="E988" s="35"/>
      <c r="K988" s="35"/>
      <c r="M988" s="35"/>
      <c r="N988" s="35"/>
      <c r="P988" s="35"/>
      <c r="S988" s="35"/>
    </row>
    <row r="989" ht="15.75" customHeight="1">
      <c r="E989" s="35"/>
      <c r="K989" s="35"/>
      <c r="M989" s="35"/>
      <c r="N989" s="35"/>
      <c r="P989" s="35"/>
      <c r="S989" s="35"/>
    </row>
    <row r="990" ht="15.75" customHeight="1">
      <c r="E990" s="35"/>
      <c r="K990" s="35"/>
      <c r="M990" s="35"/>
      <c r="N990" s="35"/>
      <c r="P990" s="35"/>
      <c r="S990" s="35"/>
    </row>
    <row r="991" ht="15.75" customHeight="1">
      <c r="E991" s="35"/>
      <c r="K991" s="35"/>
      <c r="M991" s="35"/>
      <c r="N991" s="35"/>
      <c r="P991" s="35"/>
      <c r="S991" s="35"/>
    </row>
    <row r="992" ht="15.75" customHeight="1">
      <c r="E992" s="35"/>
      <c r="K992" s="35"/>
      <c r="M992" s="35"/>
      <c r="N992" s="35"/>
      <c r="P992" s="35"/>
      <c r="S992" s="35"/>
    </row>
    <row r="993" ht="15.75" customHeight="1">
      <c r="E993" s="35"/>
      <c r="K993" s="35"/>
      <c r="M993" s="35"/>
      <c r="N993" s="35"/>
      <c r="P993" s="35"/>
      <c r="S993" s="35"/>
    </row>
    <row r="994" ht="15.75" customHeight="1">
      <c r="E994" s="35"/>
      <c r="K994" s="35"/>
      <c r="M994" s="35"/>
      <c r="N994" s="35"/>
      <c r="P994" s="35"/>
      <c r="S994" s="35"/>
    </row>
    <row r="995" ht="15.75" customHeight="1">
      <c r="E995" s="35"/>
      <c r="K995" s="35"/>
      <c r="M995" s="35"/>
      <c r="N995" s="35"/>
      <c r="P995" s="35"/>
      <c r="S995" s="35"/>
    </row>
    <row r="996" ht="15.75" customHeight="1">
      <c r="E996" s="35"/>
      <c r="K996" s="35"/>
      <c r="M996" s="35"/>
      <c r="N996" s="35"/>
      <c r="P996" s="35"/>
      <c r="S996" s="35"/>
    </row>
    <row r="997" ht="15.75" customHeight="1">
      <c r="E997" s="35"/>
      <c r="K997" s="35"/>
      <c r="M997" s="35"/>
      <c r="N997" s="35"/>
      <c r="P997" s="35"/>
      <c r="S997" s="35"/>
    </row>
    <row r="998" ht="15.75" customHeight="1">
      <c r="E998" s="35"/>
      <c r="K998" s="35"/>
      <c r="M998" s="35"/>
      <c r="N998" s="35"/>
      <c r="P998" s="35"/>
      <c r="S998" s="35"/>
    </row>
    <row r="999" ht="15.75" customHeight="1">
      <c r="E999" s="35"/>
      <c r="K999" s="35"/>
      <c r="M999" s="35"/>
      <c r="N999" s="35"/>
      <c r="P999" s="35"/>
      <c r="S999" s="35"/>
    </row>
    <row r="1000" ht="15.75" customHeight="1">
      <c r="E1000" s="35"/>
      <c r="K1000" s="35"/>
      <c r="M1000" s="35"/>
      <c r="N1000" s="35"/>
      <c r="P1000" s="35"/>
      <c r="S1000" s="35"/>
    </row>
    <row r="1001" ht="15.75" customHeight="1">
      <c r="E1001" s="35"/>
      <c r="K1001" s="35"/>
      <c r="M1001" s="35"/>
      <c r="N1001" s="35"/>
      <c r="P1001" s="35"/>
      <c r="S1001" s="35"/>
    </row>
    <row r="1002" ht="15.75" customHeight="1">
      <c r="E1002" s="35"/>
      <c r="K1002" s="35"/>
      <c r="M1002" s="35"/>
      <c r="N1002" s="35"/>
      <c r="P1002" s="35"/>
      <c r="S1002" s="35"/>
    </row>
    <row r="1003" ht="15.75" customHeight="1">
      <c r="E1003" s="35"/>
      <c r="K1003" s="35"/>
      <c r="M1003" s="35"/>
      <c r="N1003" s="35"/>
      <c r="P1003" s="35"/>
      <c r="S1003" s="35"/>
    </row>
    <row r="1004" ht="15.75" customHeight="1">
      <c r="E1004" s="35"/>
      <c r="K1004" s="35"/>
      <c r="M1004" s="35"/>
      <c r="N1004" s="35"/>
      <c r="P1004" s="35"/>
      <c r="S1004" s="35"/>
    </row>
    <row r="1005" ht="15.75" customHeight="1">
      <c r="E1005" s="35"/>
      <c r="K1005" s="35"/>
      <c r="M1005" s="35"/>
      <c r="N1005" s="35"/>
      <c r="P1005" s="35"/>
      <c r="S1005" s="35"/>
    </row>
    <row r="1006" ht="15.75" customHeight="1">
      <c r="E1006" s="35"/>
      <c r="K1006" s="35"/>
      <c r="M1006" s="35"/>
      <c r="N1006" s="35"/>
      <c r="P1006" s="35"/>
      <c r="S1006" s="35"/>
    </row>
    <row r="1007" ht="15.75" customHeight="1">
      <c r="E1007" s="35"/>
      <c r="K1007" s="35"/>
      <c r="M1007" s="35"/>
      <c r="N1007" s="35"/>
      <c r="P1007" s="35"/>
      <c r="S1007" s="35"/>
    </row>
    <row r="1008" ht="15.75" customHeight="1">
      <c r="E1008" s="35"/>
      <c r="K1008" s="35"/>
      <c r="M1008" s="35"/>
      <c r="N1008" s="35"/>
      <c r="P1008" s="35"/>
      <c r="S1008" s="35"/>
    </row>
    <row r="1009" ht="15.75" customHeight="1">
      <c r="E1009" s="35"/>
      <c r="K1009" s="35"/>
      <c r="M1009" s="35"/>
      <c r="N1009" s="35"/>
      <c r="P1009" s="35"/>
      <c r="S1009" s="35"/>
    </row>
    <row r="1010" ht="15.75" customHeight="1">
      <c r="E1010" s="35"/>
      <c r="K1010" s="35"/>
      <c r="M1010" s="35"/>
      <c r="N1010" s="35"/>
      <c r="P1010" s="35"/>
      <c r="S1010" s="35"/>
    </row>
    <row r="1011" ht="15.75" customHeight="1">
      <c r="E1011" s="35"/>
      <c r="K1011" s="35"/>
      <c r="M1011" s="35"/>
      <c r="N1011" s="35"/>
      <c r="P1011" s="35"/>
      <c r="S1011" s="35"/>
    </row>
    <row r="1012" ht="15.75" customHeight="1">
      <c r="E1012" s="35"/>
      <c r="K1012" s="35"/>
      <c r="M1012" s="35"/>
      <c r="N1012" s="35"/>
      <c r="P1012" s="35"/>
      <c r="S1012" s="35"/>
    </row>
    <row r="1013" ht="15.75" customHeight="1">
      <c r="E1013" s="35"/>
      <c r="K1013" s="35"/>
      <c r="M1013" s="35"/>
      <c r="N1013" s="35"/>
      <c r="P1013" s="35"/>
      <c r="S1013" s="35"/>
    </row>
    <row r="1014" ht="15.75" customHeight="1">
      <c r="E1014" s="35"/>
      <c r="K1014" s="35"/>
      <c r="M1014" s="35"/>
      <c r="N1014" s="35"/>
      <c r="P1014" s="35"/>
      <c r="S1014" s="35"/>
    </row>
    <row r="1015" ht="15.75" customHeight="1">
      <c r="E1015" s="35"/>
      <c r="K1015" s="35"/>
      <c r="M1015" s="35"/>
      <c r="N1015" s="35"/>
      <c r="P1015" s="35"/>
      <c r="S1015" s="35"/>
    </row>
    <row r="1016" ht="15.75" customHeight="1">
      <c r="E1016" s="35"/>
      <c r="K1016" s="35"/>
      <c r="M1016" s="35"/>
      <c r="N1016" s="35"/>
      <c r="P1016" s="35"/>
      <c r="S1016" s="35"/>
    </row>
    <row r="1017" ht="15.75" customHeight="1">
      <c r="E1017" s="35"/>
      <c r="K1017" s="35"/>
      <c r="M1017" s="35"/>
      <c r="N1017" s="35"/>
      <c r="P1017" s="35"/>
      <c r="S1017" s="35"/>
    </row>
  </sheetData>
  <mergeCells count="18">
    <mergeCell ref="Q1:R1"/>
    <mergeCell ref="Q2:R2"/>
    <mergeCell ref="Q3:R3"/>
    <mergeCell ref="Q4:R4"/>
    <mergeCell ref="Q5:R5"/>
    <mergeCell ref="E2:F2"/>
    <mergeCell ref="E3:F3"/>
    <mergeCell ref="A4:B4"/>
    <mergeCell ref="E4:F4"/>
    <mergeCell ref="A5:B5"/>
    <mergeCell ref="E5:F5"/>
    <mergeCell ref="A1:B1"/>
    <mergeCell ref="E1:F1"/>
    <mergeCell ref="K1:L1"/>
    <mergeCell ref="M1:N1"/>
    <mergeCell ref="O1:P1"/>
    <mergeCell ref="A2:B2"/>
    <mergeCell ref="A3:B3"/>
  </mergeCells>
  <conditionalFormatting sqref="K1:K1017 S1:S1017">
    <cfRule type="cellIs" dxfId="0" priority="1" operator="equal">
      <formula>"Pass"</formula>
    </cfRule>
  </conditionalFormatting>
  <conditionalFormatting sqref="K1:K1017 S1:S1017">
    <cfRule type="cellIs" dxfId="1" priority="2" operator="equal">
      <formula>"Fail"</formula>
    </cfRule>
  </conditionalFormatting>
  <conditionalFormatting sqref="K1:K1017 S1:S1017">
    <cfRule type="cellIs" dxfId="2" priority="3" operator="equal">
      <formula>"NT"</formula>
    </cfRule>
  </conditionalFormatting>
  <conditionalFormatting sqref="K1:K5 M2:M1017 O2:O5">
    <cfRule type="cellIs" dxfId="1" priority="4" operator="equal">
      <formula>"Critical"</formula>
    </cfRule>
  </conditionalFormatting>
  <conditionalFormatting sqref="I1:I5 K1:K5 M2:M1017 N6:N1017 O2:O5">
    <cfRule type="cellIs" dxfId="3" priority="5" operator="equal">
      <formula>"High"</formula>
    </cfRule>
  </conditionalFormatting>
  <conditionalFormatting sqref="I1:I5 K1:K5 M2:M1017 N6:N1017 O2:O5">
    <cfRule type="cellIs" dxfId="4" priority="6" operator="equal">
      <formula>"Medium"</formula>
    </cfRule>
  </conditionalFormatting>
  <conditionalFormatting sqref="I1:I5 K1:K5 M2:M1017 N6:N1017 O2:O5">
    <cfRule type="cellIs" dxfId="5" priority="7" operator="equal">
      <formula>"Low"</formula>
    </cfRule>
  </conditionalFormatting>
  <conditionalFormatting sqref="P5:P1017">
    <cfRule type="cellIs" dxfId="0" priority="8" operator="equal">
      <formula>"Accepted"</formula>
    </cfRule>
  </conditionalFormatting>
  <conditionalFormatting sqref="P5:P1017">
    <cfRule type="cellIs" dxfId="1" priority="9" operator="equal">
      <formula>"Rejected"</formula>
    </cfRule>
  </conditionalFormatting>
  <dataValidations>
    <dataValidation type="list" allowBlank="1" showErrorMessage="1" sqref="E67:E1017">
      <formula1>"UI,API,PL/SQL,DB"</formula1>
    </dataValidation>
    <dataValidation type="list" allowBlank="1" showErrorMessage="1" sqref="N7:N1017">
      <formula1>"High,Medium,Low"</formula1>
    </dataValidation>
    <dataValidation type="list" allowBlank="1" sqref="K7:K1017 S7:S1017">
      <formula1>"PASS,FAIL,NT"</formula1>
    </dataValidation>
    <dataValidation type="list" allowBlank="1" sqref="M7:M1017">
      <formula1>"Critical,High,Medium,Low"</formula1>
    </dataValidation>
    <dataValidation type="list" allowBlank="1" showErrorMessage="1" sqref="P7:P1017">
      <formula1>"Accepted,Rejected"</formula1>
    </dataValidation>
  </dataValidations>
  <drawing r:id="rId1"/>
</worksheet>
</file>